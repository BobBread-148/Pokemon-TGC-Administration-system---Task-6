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docMetadata/LabelInfo.xml" ContentType="application/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ject schedule" sheetId="1" state="visible" r:id="rId3"/>
    <sheet name="Data Dictionary" sheetId="2" state="visible" r:id="rId4"/>
    <sheet name="About" sheetId="3" state="visible" r:id="rId5"/>
  </sheets>
  <definedNames>
    <definedName function="false" hidden="false" localSheetId="0" name="_xlnm.Print_Titles" vbProcedure="false">'Project schedule'!$4:$6</definedName>
    <definedName function="false" hidden="false" name="Display_Week" vbProcedure="false">'Project schedule'!$P$2</definedName>
    <definedName function="false" hidden="false" name="Project_Start" vbProcedure="false">'Project schedule'!$P$1</definedName>
    <definedName function="false" hidden="false" localSheetId="0" name="task_end" vbProcedure="false">'Project schedule'!$E1</definedName>
    <definedName function="false" hidden="false" localSheetId="0" name="task_progress" vbProcedure="false">'Project schedule'!$C1</definedName>
    <definedName function="false" hidden="false" localSheetId="0" name="task_start" vbProcedure="false">'Project schedule'!$D1</definedName>
    <definedName function="false" hidden="false" localSheetId="0" name="today" vbProcedure="false">TODAY()</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<sst xmlns="http://schemas.openxmlformats.org/spreadsheetml/2006/main" count="70" uniqueCount="68">
  <si>
    <t xml:space="preserve">Pokemon Trading Card Game Management System</t>
  </si>
  <si>
    <t xml:space="preserve">Project start:</t>
  </si>
  <si>
    <t xml:space="preserve">Project due:</t>
  </si>
  <si>
    <t xml:space="preserve">Fri, 8/14/2026</t>
  </si>
  <si>
    <t xml:space="preserve">Display week:</t>
  </si>
  <si>
    <t xml:space="preserve">TASK</t>
  </si>
  <si>
    <t xml:space="preserve">PROGRESS</t>
  </si>
  <si>
    <t xml:space="preserve">START</t>
  </si>
  <si>
    <t xml:space="preserve">END</t>
  </si>
  <si>
    <t xml:space="preserve">Do not delete this row. This row is hidden to preserve a formula that is used to highlight the current day within the project schedule. </t>
  </si>
  <si>
    <t xml:space="preserve">Investigate</t>
  </si>
  <si>
    <t xml:space="preserve">Project Shedule (create gantt chart)</t>
  </si>
  <si>
    <t xml:space="preserve">Problem Outline</t>
  </si>
  <si>
    <t xml:space="preserve">Problem Description</t>
  </si>
  <si>
    <t xml:space="preserve">List of functional and non-functional requirements</t>
  </si>
  <si>
    <t xml:space="preserve">List of ethical, legal and security considerations</t>
  </si>
  <si>
    <t xml:space="preserve">Collect data on pokemon cards etc</t>
  </si>
  <si>
    <t xml:space="preserve">Design</t>
  </si>
  <si>
    <t xml:space="preserve">ERD</t>
  </si>
  <si>
    <t xml:space="preserve">Data Dictionary</t>
  </si>
  <si>
    <t xml:space="preserve">List of SQL queries</t>
  </si>
  <si>
    <t xml:space="preserve">structure chart for python program</t>
  </si>
  <si>
    <t xml:space="preserve">Function specification for each major function</t>
  </si>
  <si>
    <t xml:space="preserve">Develop</t>
  </si>
  <si>
    <t xml:space="preserve">SQL script that creates complete database structure and populates it</t>
  </si>
  <si>
    <t xml:space="preserve">Python application and its functions</t>
  </si>
  <si>
    <t xml:space="preserve">Functions performing sql queries</t>
  </si>
  <si>
    <t xml:space="preserve">Testing and Evaluation</t>
  </si>
  <si>
    <t xml:space="preserve">Test using appropriate test data</t>
  </si>
  <si>
    <t xml:space="preserve">Evaluate and check if requirements are met</t>
  </si>
  <si>
    <t xml:space="preserve">Identify strengths and limitations</t>
  </si>
  <si>
    <t xml:space="preserve">Suggest future improvements</t>
  </si>
  <si>
    <t xml:space="preserve">Specify where AI was used</t>
  </si>
  <si>
    <t xml:space="preserve">Insert new rows ABOVE this one</t>
  </si>
  <si>
    <t xml:space="preserve">Field Name</t>
  </si>
  <si>
    <t xml:space="preserve">Data Type</t>
  </si>
  <si>
    <t xml:space="preserve">Field Size</t>
  </si>
  <si>
    <t xml:space="preserve">Key Type</t>
  </si>
  <si>
    <t xml:space="preserve">Description</t>
  </si>
  <si>
    <t xml:space="preserve">Constraints</t>
  </si>
  <si>
    <t xml:space="preserve">PlayerID</t>
  </si>
  <si>
    <t xml:space="preserve">Username</t>
  </si>
  <si>
    <t xml:space="preserve">DateJoined</t>
  </si>
  <si>
    <t xml:space="preserve">DateOfBirth</t>
  </si>
  <si>
    <t xml:space="preserve">PhoneNumber</t>
  </si>
  <si>
    <t xml:space="preserve">Email</t>
  </si>
  <si>
    <t xml:space="preserve">TournamentsEntered</t>
  </si>
  <si>
    <t xml:space="preserve">MatchesPlayed</t>
  </si>
  <si>
    <t xml:space="preserve">MatchesWon</t>
  </si>
  <si>
    <t xml:space="preserve">Cards</t>
  </si>
  <si>
    <t xml:space="preserve">CardID</t>
  </si>
  <si>
    <t xml:space="preserve">Quantity</t>
  </si>
  <si>
    <t xml:space="preserve">CardName</t>
  </si>
  <si>
    <t xml:space="preserve">CardType</t>
  </si>
  <si>
    <t xml:space="preserve">SIMPLE GANTT CHART by Vertex42.com</t>
  </si>
  <si>
    <t xml:space="preserve">About This Template</t>
  </si>
  <si>
    <t xml:space="preserve">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</si>
  <si>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 xml:space="preserve">Guide for Screen Readers</t>
  </si>
  <si>
    <t xml:space="preserve">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</si>
  <si>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 xml:space="preserve">Additional Help</t>
  </si>
  <si>
    <t xml:space="preserve">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</si>
  <si>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 xml:space="preserve">How to Use the Simple Gantt Chart</t>
  </si>
  <si>
    <t xml:space="preserve">More Project Management Templates</t>
  </si>
  <si>
    <t xml:space="preserve">Visit Vertex42.com to download other project management templates, including different types of project schedules, Gantt charts, tasks lists, etc.</t>
  </si>
  <si>
    <t xml:space="preserve">Project Management Templates</t>
  </si>
  <si>
    <t xml:space="preserve">About Vertex42</t>
  </si>
  <si>
    <t xml:space="preserve">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</si>
  <si>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 xml:space="preserve">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</si>
</sst>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numFmts count="7">
    <numFmt numFmtId="164" formatCode="General"/>
    <numFmt numFmtId="165" formatCode="m/d/yy;@"/>
    <numFmt numFmtId="166" formatCode="ddd&quot;, &quot;m/d/yyyy"/>
    <numFmt numFmtId="167" formatCode="mmm\ d&quot;, &quot;yyyy"/>
    <numFmt numFmtId="168" formatCode="d"/>
    <numFmt numFmtId="169" formatCode="General"/>
    <numFmt numFmtId="170" formatCode="0%"/>
  </numFmts>
  <fonts count="27">
    <font>
      <sz val="11"/>
      <color theme="1"/>
      <name val="Arial"/>
      <family val="2"/>
      <charset val="1"/>
    </font>
    <font>
      <sz val="10"/>
      <name val="Arial"/>
      <family val="0"/>
    </font>
    <font>
      <sz val="10"/>
      <name val="Arial"/>
      <family val="0"/>
    </font>
    <font>
      <sz val="10"/>
      <name val="Arial"/>
      <family val="0"/>
    </font>
    <font>
      <sz val="11"/>
      <color theme="0"/>
      <name val="Arial"/>
      <family val="2"/>
      <charset val="1"/>
    </font>
    <font>
      <b val="true"/>
      <sz val="20"/>
      <color theme="9"/>
      <name val="Arial Black"/>
      <family val="2"/>
      <charset val="1"/>
    </font>
    <font>
      <b val="true"/>
      <sz val="22"/>
      <color theme="1" tint="0.3499"/>
      <name val="Arial Black"/>
      <family val="2"/>
      <charset val="1"/>
    </font>
    <font>
      <sz val="10"/>
      <name val="Arial"/>
      <family val="2"/>
      <charset val="1"/>
    </font>
    <font>
      <b val="true"/>
      <sz val="16"/>
      <color theme="9"/>
      <name val="Arial"/>
      <family val="2"/>
      <charset val="1"/>
    </font>
    <font>
      <sz val="16"/>
      <color theme="1"/>
      <name val="Arial"/>
      <family val="2"/>
      <charset val="1"/>
    </font>
    <font>
      <b val="true"/>
      <sz val="16"/>
      <color theme="9"/>
      <name val="Arial Black"/>
      <family val="2"/>
      <charset val="1"/>
    </font>
    <font>
      <sz val="14"/>
      <color theme="1"/>
      <name val="Arial"/>
      <family val="2"/>
      <charset val="1"/>
    </font>
    <font>
      <b val="true"/>
      <sz val="11"/>
      <name val="Arial"/>
      <family val="2"/>
      <charset val="1"/>
    </font>
    <font>
      <u val="single"/>
      <sz val="11"/>
      <color rgb="FF0000FF"/>
      <name val="Arial"/>
      <family val="2"/>
      <charset val="1"/>
    </font>
    <font>
      <sz val="10"/>
      <color theme="1"/>
      <name val="Arial"/>
      <family val="2"/>
      <charset val="1"/>
    </font>
    <font>
      <b val="true"/>
      <sz val="10"/>
      <color theme="1"/>
      <name val="Arial"/>
      <family val="2"/>
      <charset val="1"/>
    </font>
    <font>
      <b val="true"/>
      <sz val="8"/>
      <name val="Arial"/>
      <family val="2"/>
      <charset val="1"/>
    </font>
    <font>
      <b val="true"/>
      <sz val="8"/>
      <color theme="1"/>
      <name val="Arial"/>
      <family val="2"/>
      <charset val="1"/>
    </font>
    <font>
      <b val="true"/>
      <sz val="12"/>
      <color theme="1"/>
      <name val="Arial"/>
      <family val="2"/>
      <charset val="1"/>
    </font>
    <font>
      <sz val="11"/>
      <name val="Arial"/>
      <family val="2"/>
      <charset val="1"/>
    </font>
    <font>
      <i val="true"/>
      <sz val="10"/>
      <color theme="1"/>
      <name val="Arial"/>
      <family val="2"/>
      <charset val="1"/>
    </font>
    <font>
      <sz val="10"/>
      <color theme="1" tint="0.4999"/>
      <name val="Arial"/>
      <family val="2"/>
      <charset val="1"/>
    </font>
    <font>
      <b val="true"/>
      <sz val="12"/>
      <color theme="1" tint="0.3499"/>
      <name val="Arial"/>
      <family val="2"/>
      <charset val="1"/>
    </font>
    <font>
      <b val="true"/>
      <sz val="10"/>
      <name val="Arial"/>
      <family val="2"/>
      <charset val="1"/>
    </font>
    <font>
      <sz val="11"/>
      <color theme="1" tint="0.4999"/>
      <name val="Arial"/>
      <family val="2"/>
      <charset val="1"/>
    </font>
    <font>
      <sz val="20"/>
      <name val="Arial Black"/>
      <family val="2"/>
      <charset val="1"/>
    </font>
    <font>
      <sz val="11"/>
      <color rgb="FF1D2129"/>
      <name val="Arial"/>
      <family val="2"/>
      <charset val="1"/>
    </font>
  </fonts>
  <fills count="13">
    <fill>
      <patternFill patternType="none"/>
    </fill>
    <fill>
      <patternFill patternType="gray125"/>
    </fill>
    <fill>
      <patternFill patternType="solid">
        <fgColor theme="0" tint="-0.05"/>
        <bgColor rgb="FFE5F4EB"/>
      </patternFill>
    </fill>
    <fill>
      <patternFill patternType="solid">
        <fgColor theme="0" tint="-0.15"/>
        <bgColor rgb="FFE0D4FD"/>
      </patternFill>
    </fill>
    <fill>
      <patternFill patternType="solid">
        <fgColor theme="4" tint="0.5999"/>
        <bgColor rgb="FFA6A6A6"/>
      </patternFill>
    </fill>
    <fill>
      <patternFill patternType="solid">
        <fgColor theme="4" tint="0.7999"/>
        <bgColor rgb="FFD9D9D9"/>
      </patternFill>
    </fill>
    <fill>
      <patternFill patternType="solid">
        <fgColor theme="5" tint="0.5999"/>
        <bgColor rgb="FFC1A9FC"/>
      </patternFill>
    </fill>
    <fill>
      <patternFill patternType="solid">
        <fgColor theme="5" tint="0.7999"/>
        <bgColor rgb="FFE0D4FD"/>
      </patternFill>
    </fill>
    <fill>
      <patternFill patternType="solid">
        <fgColor theme="6" tint="0.5999"/>
        <bgColor rgb="FFD9D9D9"/>
      </patternFill>
    </fill>
    <fill>
      <patternFill patternType="solid">
        <fgColor theme="6" tint="0.7999"/>
        <bgColor rgb="FFF2F2F2"/>
      </patternFill>
    </fill>
    <fill>
      <patternFill patternType="solid">
        <fgColor theme="8" tint="0.5999"/>
        <bgColor rgb="FFFFF9D4"/>
      </patternFill>
    </fill>
    <fill>
      <patternFill patternType="solid">
        <fgColor theme="8" tint="0.7999"/>
        <bgColor rgb="FFF2F2F2"/>
      </patternFill>
    </fill>
    <fill>
      <patternFill patternType="solid">
        <fgColor rgb="FFFF0000"/>
        <bgColor rgb="FFD800A6"/>
      </patternFill>
    </fill>
  </fills>
  <borders count="31">
    <border diagonalUp="false" diagonalDown="false">
      <left/>
      <right/>
      <top/>
      <bottom/>
      <diagonal/>
    </border>
    <border diagonalUp="false" diagonalDown="false">
      <left/>
      <right/>
      <top style="medium">
        <color theme="0" tint="-0.15"/>
      </top>
      <bottom style="medium">
        <color theme="0" tint="-0.15"/>
      </bottom>
      <diagonal/>
    </border>
    <border diagonalUp="false" diagonalDown="false">
      <left style="thin">
        <color theme="0" tint="-0.35"/>
      </left>
      <right style="thin">
        <color theme="0" tint="-0.35"/>
      </right>
      <top style="thin">
        <color theme="0" tint="-0.35"/>
      </top>
      <bottom style="thin">
        <color theme="0" tint="-0.35"/>
      </bottom>
      <diagonal/>
    </border>
    <border diagonalUp="false" diagonalDown="false">
      <left/>
      <right style="thin">
        <color theme="1" tint="0.4999"/>
      </right>
      <top style="thin">
        <color theme="1" tint="0.4999"/>
      </top>
      <bottom style="thin">
        <color theme="1" tint="0.4999"/>
      </bottom>
      <diagonal/>
    </border>
    <border diagonalUp="false" diagonalDown="false">
      <left style="thin">
        <color theme="1" tint="0.4999"/>
      </left>
      <right style="thin">
        <color theme="1" tint="0.4999"/>
      </right>
      <top style="thin">
        <color theme="1" tint="0.4999"/>
      </top>
      <bottom style="thin">
        <color theme="1" tint="0.4999"/>
      </bottom>
      <diagonal/>
    </border>
    <border diagonalUp="false" diagonalDown="false">
      <left style="thin">
        <color theme="1" tint="0.4999"/>
      </left>
      <right/>
      <top style="thin">
        <color theme="1" tint="0.4999"/>
      </top>
      <bottom style="thin">
        <color theme="1" tint="0.4999"/>
      </bottom>
      <diagonal/>
    </border>
    <border diagonalUp="false" diagonalDown="false">
      <left/>
      <right/>
      <top style="thin">
        <color theme="1" tint="0.4999"/>
      </top>
      <bottom style="thin">
        <color theme="1" tint="0.4999"/>
      </bottom>
      <diagonal/>
    </border>
    <border diagonalUp="false" diagonalDown="false">
      <left/>
      <right/>
      <top style="thin">
        <color theme="1" tint="0.4999"/>
      </top>
      <bottom/>
      <diagonal/>
    </border>
    <border diagonalUp="false" diagonalDown="false">
      <left/>
      <right style="thin">
        <color theme="1" tint="0.4999"/>
      </right>
      <top style="thin">
        <color theme="1" tint="0.4999"/>
      </top>
      <bottom/>
      <diagonal/>
    </border>
    <border diagonalUp="false" diagonalDown="false">
      <left style="thin">
        <color theme="1" tint="0.4999"/>
      </left>
      <right style="thin">
        <color theme="1" tint="0.4999"/>
      </right>
      <top style="thin">
        <color theme="1" tint="0.4999"/>
      </top>
      <bottom/>
      <diagonal/>
    </border>
    <border diagonalUp="false" diagonalDown="false">
      <left style="thin">
        <color theme="1" tint="0.4999"/>
      </left>
      <right/>
      <top style="thin">
        <color theme="1" tint="0.4999"/>
      </top>
      <bottom/>
      <diagonal/>
    </border>
    <border diagonalUp="false" diagonalDown="false">
      <left style="thin"/>
      <right style="thin"/>
      <top style="thin"/>
      <bottom/>
      <diagonal/>
    </border>
    <border diagonalUp="false" diagonalDown="false">
      <left style="thin">
        <color theme="0" tint="-0.15"/>
      </left>
      <right style="thin">
        <color theme="0" tint="-0.15"/>
      </right>
      <top/>
      <bottom/>
      <diagonal/>
    </border>
    <border diagonalUp="false" diagonalDown="false">
      <left style="thin">
        <color theme="0" tint="-0.15"/>
      </left>
      <right/>
      <top/>
      <bottom/>
      <diagonal/>
    </border>
    <border diagonalUp="false" diagonalDown="false">
      <left style="thin"/>
      <right style="thin"/>
      <top/>
      <bottom/>
      <diagonal/>
    </border>
    <border diagonalUp="false" diagonalDown="false">
      <left/>
      <right style="thin">
        <color theme="0" tint="-0.15"/>
      </right>
      <top/>
      <bottom/>
      <diagonal/>
    </border>
    <border diagonalUp="false" diagonalDown="false">
      <left/>
      <right/>
      <top style="thin">
        <color theme="0" tint="-0.05"/>
      </top>
      <bottom/>
      <diagonal/>
    </border>
    <border diagonalUp="false" diagonalDown="false">
      <left style="thin"/>
      <right style="thin"/>
      <top style="thin">
        <color theme="0" tint="-0.05"/>
      </top>
      <bottom/>
      <diagonal/>
    </border>
    <border diagonalUp="false" diagonalDown="false">
      <left/>
      <right/>
      <top/>
      <bottom style="thin">
        <color theme="4" tint="0.5999"/>
      </bottom>
      <diagonal/>
    </border>
    <border diagonalUp="false" diagonalDown="false">
      <left style="thin">
        <color theme="0" tint="-0.05"/>
      </left>
      <right style="thin">
        <color theme="0" tint="-0.05"/>
      </right>
      <top style="thin">
        <color theme="0" tint="-0.05"/>
      </top>
      <bottom style="thin">
        <color theme="0" tint="-0.05"/>
      </bottom>
      <diagonal/>
    </border>
    <border diagonalUp="false" diagonalDown="false">
      <left style="thin">
        <color theme="0" tint="-0.05"/>
      </left>
      <right/>
      <top style="thin">
        <color theme="0" tint="-0.05"/>
      </top>
      <bottom style="thin">
        <color theme="0" tint="-0.05"/>
      </bottom>
      <diagonal/>
    </border>
    <border diagonalUp="false" diagonalDown="false">
      <left style="thin"/>
      <right style="thin"/>
      <top style="thin">
        <color theme="0" tint="-0.05"/>
      </top>
      <bottom style="thin">
        <color theme="0" tint="-0.05"/>
      </bottom>
      <diagonal/>
    </border>
    <border diagonalUp="false" diagonalDown="false">
      <left/>
      <right style="thin">
        <color theme="0" tint="-0.05"/>
      </right>
      <top style="thin">
        <color theme="0" tint="-0.05"/>
      </top>
      <bottom style="thin">
        <color theme="0" tint="-0.05"/>
      </bottom>
      <diagonal/>
    </border>
    <border diagonalUp="false" diagonalDown="false">
      <left/>
      <right/>
      <top style="thin">
        <color theme="4" tint="0.5999"/>
      </top>
      <bottom style="thin">
        <color theme="4" tint="0.5999"/>
      </bottom>
      <diagonal/>
    </border>
    <border diagonalUp="false" diagonalDown="false">
      <left/>
      <right/>
      <top style="thin">
        <color theme="5" tint="0.5999"/>
      </top>
      <bottom style="thin">
        <color theme="5" tint="0.5999"/>
      </bottom>
      <diagonal/>
    </border>
    <border diagonalUp="false" diagonalDown="false">
      <left/>
      <right/>
      <top/>
      <bottom style="thin">
        <color theme="0" tint="-0.05"/>
      </bottom>
      <diagonal/>
    </border>
    <border diagonalUp="false" diagonalDown="false">
      <left style="thin"/>
      <right style="thin"/>
      <top/>
      <bottom style="thin">
        <color theme="0" tint="-0.05"/>
      </bottom>
      <diagonal/>
    </border>
    <border diagonalUp="false" diagonalDown="false">
      <left/>
      <right/>
      <top style="thin">
        <color theme="6" tint="0.5999"/>
      </top>
      <bottom style="thin">
        <color theme="6" tint="0.5999"/>
      </bottom>
      <diagonal/>
    </border>
    <border diagonalUp="false" diagonalDown="false">
      <left/>
      <right/>
      <top style="thin">
        <color theme="0" tint="-0.05"/>
      </top>
      <bottom style="thin">
        <color theme="0" tint="-0.05"/>
      </bottom>
      <diagonal/>
    </border>
    <border diagonalUp="false" diagonalDown="false">
      <left/>
      <right/>
      <top style="thin">
        <color theme="8" tint="0.5999"/>
      </top>
      <bottom style="thin">
        <color theme="8" tint="0.5999"/>
      </bottom>
      <diagonal/>
    </border>
    <border diagonalUp="false" diagonalDown="false">
      <left style="thin"/>
      <right style="thin"/>
      <top style="thin">
        <color theme="0" tint="-0.05"/>
      </top>
      <bottom style="thin"/>
      <diagonal/>
    </border>
  </borders>
  <cellStyleXfs count="29">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70" fontId="0" fillId="0" borderId="0" applyFont="true" applyBorder="false" applyAlignment="true" applyProtection="false">
      <alignment horizontal="general" vertical="bottom" textRotation="0" wrapText="false" indent="0" shrinkToFit="false"/>
    </xf>
    <xf numFmtId="164" fontId="13" fillId="0" borderId="0" applyFont="true" applyBorder="false" applyAlignment="true" applyProtection="false">
      <alignment horizontal="general" vertical="bottom" textRotation="0" wrapText="false" indent="0" shrinkToFit="false"/>
    </xf>
    <xf numFmtId="165" fontId="0" fillId="0" borderId="1" applyFont="true" applyBorder="true" applyAlignment="true" applyProtection="true">
      <alignment horizontal="center" vertical="center" textRotation="0" wrapText="false" indent="0" shrinkToFit="false"/>
      <protection locked="true" hidden="false"/>
    </xf>
    <xf numFmtId="164" fontId="0" fillId="0" borderId="1" applyFont="true" applyBorder="true" applyAlignment="true" applyProtection="true">
      <alignment horizontal="center" vertical="center" textRotation="0" wrapText="false" indent="0" shrinkToFit="false"/>
      <protection locked="true" hidden="false"/>
    </xf>
    <xf numFmtId="166" fontId="0" fillId="0" borderId="2" applyFont="true" applyBorder="true" applyAlignment="true" applyProtection="true">
      <alignment horizontal="center" vertical="center" textRotation="0" wrapText="false" indent="0" shrinkToFit="false"/>
      <protection locked="true" hidden="false"/>
    </xf>
    <xf numFmtId="164" fontId="0" fillId="0" borderId="1" applyFont="true" applyBorder="true" applyAlignment="true" applyProtection="true">
      <alignment horizontal="left" vertical="center" textRotation="0" wrapText="false" indent="2"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false" applyAlignment="true" applyProtection="false">
      <alignment horizontal="general" vertical="bottom" textRotation="0" wrapText="false" indent="0" shrinkToFit="false"/>
    </xf>
    <xf numFmtId="164" fontId="0" fillId="0" borderId="0" applyFont="true" applyBorder="true" applyAlignment="true" applyProtection="false">
      <alignment horizontal="right" vertical="bottom" textRotation="0" wrapText="false" indent="1" shrinkToFit="false"/>
    </xf>
    <xf numFmtId="164" fontId="11" fillId="0" borderId="0" applyFont="true" applyBorder="true" applyAlignment="true" applyProtection="false">
      <alignment horizontal="general" vertical="bottom" textRotation="0" wrapText="false" indent="0" shrinkToFit="false"/>
    </xf>
  </cellStyleXfs>
  <cellXfs count="10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25"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4" fillId="0" borderId="0" xfId="25" applyFont="true" applyBorder="false" applyAlignment="true" applyProtection="false">
      <alignment horizontal="general" vertical="bottom" textRotation="0" wrapText="true" indent="0" shrinkToFit="false"/>
      <protection locked="true" hidden="false"/>
    </xf>
    <xf numFmtId="164" fontId="5" fillId="0" borderId="0" xfId="26" applyFont="true" applyBorder="true" applyAlignment="true" applyProtection="true">
      <alignment horizontal="left" vertical="bottom" textRotation="0" wrapText="tru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27" applyFont="true" applyBorder="true" applyAlignment="true" applyProtection="true">
      <alignment horizontal="left"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10" fillId="0" borderId="0" xfId="23" applyFont="true" applyBorder="true" applyAlignment="true" applyProtection="false">
      <alignment horizontal="left" vertical="bottom" textRotation="0" wrapText="false" indent="0" shrinkToFit="false"/>
      <protection locked="true" hidden="false"/>
    </xf>
    <xf numFmtId="164" fontId="8" fillId="0" borderId="0" xfId="27" applyFont="true" applyBorder="true" applyAlignment="true" applyProtection="true">
      <alignment horizontal="right" vertical="bottom" textRotation="0" wrapText="false" indent="0" shrinkToFit="false"/>
      <protection locked="true" hidden="false"/>
    </xf>
    <xf numFmtId="164" fontId="8" fillId="0" borderId="0" xfId="28" applyFont="true" applyBorder="false" applyAlignment="true" applyProtection="true">
      <alignment horizontal="left" vertical="center" textRotation="0" wrapText="false" indent="1"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true" applyAlignment="true" applyProtection="false">
      <alignment horizontal="left" vertical="bottom" textRotation="0" wrapText="false" indent="0" shrinkToFit="false"/>
      <protection locked="true" hidden="false"/>
    </xf>
    <xf numFmtId="164" fontId="12" fillId="0" borderId="0" xfId="0" applyFont="true" applyBorder="false" applyAlignment="true" applyProtection="false">
      <alignment horizontal="left" vertical="bottom" textRotation="0" wrapText="false" indent="1" shrinkToFit="false"/>
      <protection locked="true" hidden="false"/>
    </xf>
    <xf numFmtId="164" fontId="0" fillId="0" borderId="0" xfId="27" applyFont="true" applyBorder="false" applyAlignment="true" applyProtection="true">
      <alignment horizontal="right" vertical="bottom" textRotation="0" wrapText="false" indent="1" shrinkToFit="false"/>
      <protection locked="true" hidden="false"/>
    </xf>
    <xf numFmtId="164" fontId="7" fillId="0" borderId="0" xfId="20" applyFont="true" applyBorder="true" applyAlignment="true" applyProtection="true">
      <alignment horizontal="left" vertical="top" textRotation="0" wrapText="false" indent="1" shrinkToFit="false"/>
      <protection locked="true" hidden="false"/>
    </xf>
    <xf numFmtId="164" fontId="0" fillId="0" borderId="0" xfId="0" applyFont="true" applyBorder="false" applyAlignment="true" applyProtection="false">
      <alignment horizontal="left" vertical="bottom" textRotation="0" wrapText="false" indent="1" shrinkToFit="false"/>
      <protection locked="true" hidden="false"/>
    </xf>
    <xf numFmtId="167" fontId="14" fillId="2" borderId="3" xfId="0" applyFont="true" applyBorder="true" applyAlignment="true" applyProtection="false">
      <alignment horizontal="center" vertical="center" textRotation="0" wrapText="true" indent="0" shrinkToFit="false"/>
      <protection locked="true" hidden="false"/>
    </xf>
    <xf numFmtId="167" fontId="14" fillId="2" borderId="4" xfId="0" applyFont="true" applyBorder="true" applyAlignment="true" applyProtection="false">
      <alignment horizontal="center" vertical="center" textRotation="0" wrapText="true" indent="0" shrinkToFit="false"/>
      <protection locked="true" hidden="false"/>
    </xf>
    <xf numFmtId="167" fontId="14" fillId="2" borderId="5" xfId="0" applyFont="true" applyBorder="true" applyAlignment="true" applyProtection="false">
      <alignment horizontal="center" vertical="center" textRotation="0" wrapText="true" indent="0" shrinkToFit="false"/>
      <protection locked="true" hidden="false"/>
    </xf>
    <xf numFmtId="164" fontId="4" fillId="0" borderId="0" xfId="25" applyFont="true" applyBorder="true" applyAlignment="true" applyProtection="false">
      <alignment horizontal="general" vertical="bottom" textRotation="0" wrapText="true" indent="0" shrinkToFit="false"/>
      <protection locked="true" hidden="false"/>
    </xf>
    <xf numFmtId="164" fontId="15" fillId="2" borderId="6" xfId="0" applyFont="true" applyBorder="true" applyAlignment="true" applyProtection="false">
      <alignment horizontal="left" vertical="center" textRotation="0" wrapText="false" indent="1" shrinkToFit="false"/>
      <protection locked="true" hidden="false"/>
    </xf>
    <xf numFmtId="164" fontId="15" fillId="2" borderId="6" xfId="0" applyFont="true" applyBorder="true" applyAlignment="true" applyProtection="false">
      <alignment horizontal="center" vertical="center" textRotation="0" wrapText="false" indent="0" shrinkToFit="false"/>
      <protection locked="true" hidden="false"/>
    </xf>
    <xf numFmtId="168" fontId="16" fillId="3" borderId="6" xfId="0" applyFont="true" applyBorder="true" applyAlignment="true" applyProtection="false">
      <alignment horizontal="center" vertical="center" textRotation="0" wrapText="false" indent="0" shrinkToFit="false"/>
      <protection locked="true" hidden="false"/>
    </xf>
    <xf numFmtId="168" fontId="16" fillId="3" borderId="3" xfId="0" applyFont="true" applyBorder="true" applyAlignment="true" applyProtection="false">
      <alignment horizontal="center" vertical="center" textRotation="0" wrapText="false" indent="0" shrinkToFit="false"/>
      <protection locked="true" hidden="false"/>
    </xf>
    <xf numFmtId="168" fontId="16" fillId="3" borderId="5" xfId="0" applyFont="true" applyBorder="true" applyAlignment="true" applyProtection="false">
      <alignment horizontal="center" vertical="center" textRotation="0" wrapText="false" indent="0" shrinkToFit="false"/>
      <protection locked="true" hidden="false"/>
    </xf>
    <xf numFmtId="168" fontId="16" fillId="3" borderId="7" xfId="0" applyFont="true" applyBorder="true" applyAlignment="true" applyProtection="false">
      <alignment horizontal="center" vertical="center" textRotation="0" wrapText="false" indent="0" shrinkToFit="false"/>
      <protection locked="true" hidden="false"/>
    </xf>
    <xf numFmtId="169" fontId="17" fillId="2" borderId="8" xfId="0" applyFont="true" applyBorder="true" applyAlignment="true" applyProtection="false">
      <alignment horizontal="center" vertical="center" textRotation="0" wrapText="false" indent="0" shrinkToFit="true"/>
      <protection locked="true" hidden="false"/>
    </xf>
    <xf numFmtId="169" fontId="17" fillId="2" borderId="9" xfId="0" applyFont="true" applyBorder="true" applyAlignment="true" applyProtection="false">
      <alignment horizontal="center" vertical="center" textRotation="0" wrapText="false" indent="0" shrinkToFit="true"/>
      <protection locked="true" hidden="false"/>
    </xf>
    <xf numFmtId="169" fontId="17" fillId="2" borderId="10" xfId="0" applyFont="true" applyBorder="true" applyAlignment="true" applyProtection="false">
      <alignment horizontal="center" vertical="center" textRotation="0" wrapText="false" indent="0" shrinkToFit="true"/>
      <protection locked="true" hidden="false"/>
    </xf>
    <xf numFmtId="169" fontId="17" fillId="2" borderId="11" xfId="0" applyFont="true" applyBorder="true" applyAlignment="true" applyProtection="false">
      <alignment horizontal="center" vertical="center" textRotation="0" wrapText="false" indent="0" shrinkToFit="tru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0" fillId="0" borderId="12" xfId="0" applyFont="true" applyBorder="true" applyAlignment="true" applyProtection="false">
      <alignment horizontal="general" vertical="center" textRotation="0" wrapText="false" indent="0" shrinkToFit="false"/>
      <protection locked="true" hidden="false"/>
    </xf>
    <xf numFmtId="164" fontId="0" fillId="0" borderId="13" xfId="0" applyFont="true" applyBorder="true" applyAlignment="true" applyProtection="false">
      <alignment horizontal="general" vertical="center" textRotation="0" wrapText="false" indent="0" shrinkToFit="false"/>
      <protection locked="true" hidden="false"/>
    </xf>
    <xf numFmtId="164" fontId="0" fillId="0" borderId="14" xfId="0" applyFont="true" applyBorder="true" applyAlignment="true" applyProtection="false">
      <alignment horizontal="general" vertical="center" textRotation="0" wrapText="false" indent="0" shrinkToFit="false"/>
      <protection locked="true" hidden="false"/>
    </xf>
    <xf numFmtId="164" fontId="0" fillId="0" borderId="15" xfId="0" applyFont="true" applyBorder="true" applyAlignment="true" applyProtection="false">
      <alignment horizontal="general" vertical="center" textRotation="0" wrapText="false" indent="0" shrinkToFit="false"/>
      <protection locked="true" hidden="false"/>
    </xf>
    <xf numFmtId="164" fontId="18" fillId="4" borderId="0" xfId="0" applyFont="true" applyBorder="false" applyAlignment="true" applyProtection="false">
      <alignment horizontal="left" vertical="center" textRotation="0" wrapText="false" indent="1" shrinkToFit="false"/>
      <protection locked="true" hidden="false"/>
    </xf>
    <xf numFmtId="170" fontId="7" fillId="4" borderId="0" xfId="19" applyFont="true" applyBorder="true" applyAlignment="true" applyProtection="true">
      <alignment horizontal="center" vertical="center" textRotation="0" wrapText="false" indent="0" shrinkToFit="false"/>
      <protection locked="true" hidden="false"/>
    </xf>
    <xf numFmtId="165" fontId="14" fillId="4" borderId="0" xfId="0" applyFont="true" applyBorder="false" applyAlignment="true" applyProtection="false">
      <alignment horizontal="center" vertical="center" textRotation="0" wrapText="false" indent="0" shrinkToFit="false"/>
      <protection locked="true" hidden="false"/>
    </xf>
    <xf numFmtId="165" fontId="7" fillId="4" borderId="0" xfId="0" applyFont="true" applyBorder="false" applyAlignment="true" applyProtection="false">
      <alignment horizontal="center" vertical="center" textRotation="0" wrapText="false" indent="0" shrinkToFit="false"/>
      <protection locked="true" hidden="false"/>
    </xf>
    <xf numFmtId="164" fontId="19" fillId="0" borderId="0" xfId="0" applyFont="true" applyBorder="false" applyAlignment="true" applyProtection="false">
      <alignment horizontal="center" vertical="center" textRotation="0" wrapText="false" indent="0" shrinkToFit="false"/>
      <protection locked="true" hidden="false"/>
    </xf>
    <xf numFmtId="164" fontId="19" fillId="0" borderId="1" xfId="0" applyFont="true" applyBorder="true" applyAlignment="true" applyProtection="false">
      <alignment horizontal="center" vertical="center" textRotation="0" wrapText="false" indent="0" shrinkToFit="false"/>
      <protection locked="true" hidden="false"/>
    </xf>
    <xf numFmtId="164" fontId="0" fillId="0" borderId="16" xfId="0" applyFont="true" applyBorder="true" applyAlignment="true" applyProtection="false">
      <alignment horizontal="general" vertical="center" textRotation="0" wrapText="false" indent="0" shrinkToFit="false"/>
      <protection locked="true" hidden="false"/>
    </xf>
    <xf numFmtId="164" fontId="0" fillId="0" borderId="17" xfId="0" applyFont="true" applyBorder="tru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14" fillId="5" borderId="18" xfId="24" applyFont="true" applyBorder="true" applyAlignment="true" applyProtection="false">
      <alignment horizontal="left" vertical="center" textRotation="0" wrapText="true" indent="2" shrinkToFit="false"/>
      <protection locked="true" hidden="false"/>
    </xf>
    <xf numFmtId="170" fontId="7" fillId="5" borderId="18" xfId="19" applyFont="true" applyBorder="true" applyAlignment="true" applyProtection="true">
      <alignment horizontal="center" vertical="center" textRotation="0" wrapText="false" indent="0" shrinkToFit="false"/>
      <protection locked="true" hidden="false"/>
    </xf>
    <xf numFmtId="165" fontId="14" fillId="5" borderId="18" xfId="21" applyFont="true" applyBorder="true" applyAlignment="true" applyProtection="false">
      <alignment horizontal="center" vertical="center" textRotation="0" wrapText="false" indent="0" shrinkToFit="false"/>
      <protection locked="true" hidden="false"/>
    </xf>
    <xf numFmtId="164" fontId="0" fillId="0" borderId="19" xfId="0" applyFont="true" applyBorder="true" applyAlignment="true" applyProtection="false">
      <alignment horizontal="general" vertical="center" textRotation="0" wrapText="false" indent="0" shrinkToFit="false"/>
      <protection locked="true" hidden="false"/>
    </xf>
    <xf numFmtId="164" fontId="0" fillId="0" borderId="20" xfId="0" applyFont="true" applyBorder="true" applyAlignment="true" applyProtection="false">
      <alignment horizontal="general" vertical="center" textRotation="0" wrapText="false" indent="0" shrinkToFit="false"/>
      <protection locked="true" hidden="false"/>
    </xf>
    <xf numFmtId="164" fontId="0" fillId="0" borderId="21" xfId="0" applyFont="true" applyBorder="true" applyAlignment="true" applyProtection="false">
      <alignment horizontal="general" vertical="center" textRotation="0" wrapText="false" indent="0" shrinkToFit="false"/>
      <protection locked="true" hidden="false"/>
    </xf>
    <xf numFmtId="164" fontId="0" fillId="0" borderId="22" xfId="0" applyFont="true" applyBorder="true" applyAlignment="true" applyProtection="false">
      <alignment horizontal="general" vertical="center" textRotation="0" wrapText="false" indent="0" shrinkToFit="false"/>
      <protection locked="true" hidden="false"/>
    </xf>
    <xf numFmtId="164" fontId="14" fillId="5" borderId="23" xfId="24" applyFont="true" applyBorder="true" applyAlignment="true" applyProtection="false">
      <alignment horizontal="left" vertical="center" textRotation="0" wrapText="true" indent="2" shrinkToFit="false"/>
      <protection locked="true" hidden="false"/>
    </xf>
    <xf numFmtId="170" fontId="7" fillId="5" borderId="23" xfId="19" applyFont="true" applyBorder="true" applyAlignment="true" applyProtection="true">
      <alignment horizontal="center" vertical="center" textRotation="0" wrapText="false" indent="0" shrinkToFit="false"/>
      <protection locked="true" hidden="false"/>
    </xf>
    <xf numFmtId="165" fontId="14" fillId="5" borderId="23" xfId="21" applyFont="true" applyBorder="true" applyAlignment="true" applyProtection="false">
      <alignment horizontal="center" vertical="center" textRotation="0" wrapText="false" indent="0" shrinkToFit="false"/>
      <protection locked="true" hidden="false"/>
    </xf>
    <xf numFmtId="164" fontId="0" fillId="0" borderId="19" xfId="0" applyFont="true" applyBorder="true" applyAlignment="true" applyProtection="false">
      <alignment horizontal="right" vertical="center" textRotation="0" wrapText="false" indent="0" shrinkToFit="false"/>
      <protection locked="true" hidden="false"/>
    </xf>
    <xf numFmtId="164" fontId="18" fillId="6" borderId="0" xfId="0" applyFont="true" applyBorder="false" applyAlignment="true" applyProtection="false">
      <alignment horizontal="left" vertical="center" textRotation="0" wrapText="false" indent="1" shrinkToFit="false"/>
      <protection locked="true" hidden="false"/>
    </xf>
    <xf numFmtId="170" fontId="7" fillId="6" borderId="0" xfId="19" applyFont="true" applyBorder="true" applyAlignment="true" applyProtection="true">
      <alignment horizontal="center" vertical="center" textRotation="0" wrapText="false" indent="0" shrinkToFit="false"/>
      <protection locked="true" hidden="false"/>
    </xf>
    <xf numFmtId="165" fontId="14" fillId="6" borderId="0" xfId="0" applyFont="true" applyBorder="false" applyAlignment="true" applyProtection="false">
      <alignment horizontal="center" vertical="center" textRotation="0" wrapText="false" indent="0" shrinkToFit="false"/>
      <protection locked="true" hidden="false"/>
    </xf>
    <xf numFmtId="165" fontId="7" fillId="6" borderId="0" xfId="0" applyFont="true" applyBorder="false" applyAlignment="true" applyProtection="false">
      <alignment horizontal="center" vertical="center" textRotation="0" wrapText="false" indent="0" shrinkToFit="false"/>
      <protection locked="true" hidden="false"/>
    </xf>
    <xf numFmtId="164" fontId="14" fillId="7" borderId="24" xfId="24" applyFont="true" applyBorder="true" applyAlignment="true" applyProtection="false">
      <alignment horizontal="left" vertical="center" textRotation="0" wrapText="true" indent="2" shrinkToFit="false"/>
      <protection locked="true" hidden="false"/>
    </xf>
    <xf numFmtId="170" fontId="7" fillId="7" borderId="24" xfId="19" applyFont="true" applyBorder="true" applyAlignment="true" applyProtection="true">
      <alignment horizontal="center" vertical="center" textRotation="0" wrapText="false" indent="0" shrinkToFit="false"/>
      <protection locked="true" hidden="false"/>
    </xf>
    <xf numFmtId="165" fontId="14" fillId="7" borderId="24" xfId="21" applyFont="true" applyBorder="true" applyAlignment="true" applyProtection="false">
      <alignment horizontal="center" vertical="center" textRotation="0" wrapText="false" indent="0" shrinkToFit="false"/>
      <protection locked="true" hidden="false"/>
    </xf>
    <xf numFmtId="164" fontId="18" fillId="8" borderId="0" xfId="0" applyFont="true" applyBorder="false" applyAlignment="true" applyProtection="false">
      <alignment horizontal="left" vertical="center" textRotation="0" wrapText="false" indent="1" shrinkToFit="false"/>
      <protection locked="true" hidden="false"/>
    </xf>
    <xf numFmtId="170" fontId="7" fillId="8" borderId="0" xfId="19" applyFont="true" applyBorder="true" applyAlignment="true" applyProtection="true">
      <alignment horizontal="center" vertical="center" textRotation="0" wrapText="false" indent="0" shrinkToFit="false"/>
      <protection locked="true" hidden="false"/>
    </xf>
    <xf numFmtId="165" fontId="14" fillId="8" borderId="0" xfId="0" applyFont="true" applyBorder="false" applyAlignment="true" applyProtection="false">
      <alignment horizontal="center" vertical="center" textRotation="0" wrapText="false" indent="0" shrinkToFit="false"/>
      <protection locked="true" hidden="false"/>
    </xf>
    <xf numFmtId="165" fontId="7" fillId="8" borderId="0" xfId="0" applyFont="true" applyBorder="false" applyAlignment="true" applyProtection="false">
      <alignment horizontal="center" vertical="center" textRotation="0" wrapText="false" indent="0" shrinkToFit="false"/>
      <protection locked="true" hidden="false"/>
    </xf>
    <xf numFmtId="164" fontId="0" fillId="0" borderId="25" xfId="0" applyFont="true" applyBorder="true" applyAlignment="true" applyProtection="false">
      <alignment horizontal="general" vertical="center" textRotation="0" wrapText="false" indent="0" shrinkToFit="false"/>
      <protection locked="true" hidden="false"/>
    </xf>
    <xf numFmtId="164" fontId="0" fillId="0" borderId="26" xfId="0" applyFont="true" applyBorder="true" applyAlignment="true" applyProtection="false">
      <alignment horizontal="general" vertical="center" textRotation="0" wrapText="false" indent="0" shrinkToFit="false"/>
      <protection locked="true" hidden="false"/>
    </xf>
    <xf numFmtId="164" fontId="14" fillId="9" borderId="27" xfId="24" applyFont="true" applyBorder="true" applyAlignment="true" applyProtection="false">
      <alignment horizontal="left" vertical="center" textRotation="0" wrapText="true" indent="2" shrinkToFit="false"/>
      <protection locked="true" hidden="false"/>
    </xf>
    <xf numFmtId="170" fontId="7" fillId="9" borderId="27" xfId="19" applyFont="true" applyBorder="true" applyAlignment="true" applyProtection="true">
      <alignment horizontal="center" vertical="center" textRotation="0" wrapText="false" indent="0" shrinkToFit="false"/>
      <protection locked="true" hidden="false"/>
    </xf>
    <xf numFmtId="165" fontId="14" fillId="9" borderId="27" xfId="21" applyFont="true" applyBorder="true" applyAlignment="true" applyProtection="false">
      <alignment horizontal="center" vertical="center" textRotation="0" wrapText="false" indent="0" shrinkToFit="false"/>
      <protection locked="true" hidden="false"/>
    </xf>
    <xf numFmtId="164" fontId="18" fillId="10" borderId="0" xfId="0" applyFont="true" applyBorder="false" applyAlignment="true" applyProtection="false">
      <alignment horizontal="left" vertical="center" textRotation="0" wrapText="false" indent="1" shrinkToFit="false"/>
      <protection locked="true" hidden="false"/>
    </xf>
    <xf numFmtId="170" fontId="7" fillId="10" borderId="0" xfId="19" applyFont="true" applyBorder="true" applyAlignment="true" applyProtection="true">
      <alignment horizontal="center" vertical="center" textRotation="0" wrapText="false" indent="0" shrinkToFit="false"/>
      <protection locked="true" hidden="false"/>
    </xf>
    <xf numFmtId="165" fontId="14" fillId="10" borderId="0" xfId="0" applyFont="true" applyBorder="false" applyAlignment="true" applyProtection="false">
      <alignment horizontal="center" vertical="center" textRotation="0" wrapText="false" indent="0" shrinkToFit="false"/>
      <protection locked="true" hidden="false"/>
    </xf>
    <xf numFmtId="165" fontId="7" fillId="10" borderId="0" xfId="0" applyFont="true" applyBorder="false" applyAlignment="true" applyProtection="false">
      <alignment horizontal="center" vertical="center" textRotation="0" wrapText="false" indent="0" shrinkToFit="false"/>
      <protection locked="true" hidden="false"/>
    </xf>
    <xf numFmtId="164" fontId="0" fillId="0" borderId="28" xfId="0" applyFont="true" applyBorder="true" applyAlignment="true" applyProtection="false">
      <alignment horizontal="general" vertical="center" textRotation="0" wrapText="false" indent="0" shrinkToFit="false"/>
      <protection locked="true" hidden="false"/>
    </xf>
    <xf numFmtId="164" fontId="14" fillId="11" borderId="29" xfId="24" applyFont="true" applyBorder="true" applyAlignment="true" applyProtection="false">
      <alignment horizontal="left" vertical="center" textRotation="0" wrapText="false" indent="2" shrinkToFit="false"/>
      <protection locked="true" hidden="false"/>
    </xf>
    <xf numFmtId="170" fontId="7" fillId="11" borderId="29" xfId="19" applyFont="true" applyBorder="true" applyAlignment="true" applyProtection="true">
      <alignment horizontal="center" vertical="center" textRotation="0" wrapText="false" indent="0" shrinkToFit="false"/>
      <protection locked="true" hidden="false"/>
    </xf>
    <xf numFmtId="165" fontId="14" fillId="11" borderId="29" xfId="21" applyFont="true" applyBorder="true" applyAlignment="true" applyProtection="false">
      <alignment horizontal="center" vertical="center" textRotation="0" wrapText="false" indent="0" shrinkToFit="false"/>
      <protection locked="true" hidden="false"/>
    </xf>
    <xf numFmtId="164" fontId="0" fillId="0" borderId="30" xfId="0" applyFont="true" applyBorder="true" applyAlignment="true" applyProtection="false">
      <alignment horizontal="general" vertical="center" textRotation="0" wrapText="false" indent="0" shrinkToFit="false"/>
      <protection locked="true" hidden="false"/>
    </xf>
    <xf numFmtId="164" fontId="0" fillId="12" borderId="19" xfId="0" applyFont="true" applyBorder="true" applyAlignment="true" applyProtection="false">
      <alignment horizontal="general" vertical="center" textRotation="0" wrapText="false" indent="0" shrinkToFit="false"/>
      <protection locked="true" hidden="false"/>
    </xf>
    <xf numFmtId="164" fontId="14" fillId="0" borderId="0" xfId="24" applyFont="true" applyBorder="true" applyAlignment="true" applyProtection="false">
      <alignment horizontal="left" vertical="center" textRotation="0" wrapText="false" indent="2" shrinkToFit="false"/>
      <protection locked="true" hidden="false"/>
    </xf>
    <xf numFmtId="170" fontId="7" fillId="0" borderId="0" xfId="19" applyFont="true" applyBorder="true" applyAlignment="true" applyProtection="true">
      <alignment horizontal="center" vertical="center" textRotation="0" wrapText="false" indent="0" shrinkToFit="false"/>
      <protection locked="true" hidden="false"/>
    </xf>
    <xf numFmtId="165" fontId="14" fillId="0" borderId="0" xfId="21" applyFont="true" applyBorder="true" applyAlignment="true" applyProtection="false">
      <alignment horizontal="center" vertical="center" textRotation="0" wrapText="false" indent="0" shrinkToFit="false"/>
      <protection locked="true" hidden="false"/>
    </xf>
    <xf numFmtId="164" fontId="0" fillId="0" borderId="0" xfId="0" applyFont="true" applyBorder="true" applyAlignment="true" applyProtection="false">
      <alignment horizontal="general" vertical="center" textRotation="0" wrapText="false" indent="0" shrinkToFit="false"/>
      <protection locked="true" hidden="false"/>
    </xf>
    <xf numFmtId="164" fontId="20" fillId="2" borderId="0" xfId="0" applyFont="true" applyBorder="false" applyAlignment="true" applyProtection="false">
      <alignment horizontal="left" vertical="center" textRotation="0" wrapText="false" indent="1" shrinkToFit="false"/>
      <protection locked="true" hidden="false"/>
    </xf>
    <xf numFmtId="170" fontId="7" fillId="2" borderId="0" xfId="19" applyFont="true" applyBorder="true" applyAlignment="true" applyProtection="true">
      <alignment horizontal="center" vertical="center" textRotation="0" wrapText="false" indent="0" shrinkToFit="false"/>
      <protection locked="true" hidden="false"/>
    </xf>
    <xf numFmtId="165" fontId="21" fillId="2" borderId="0" xfId="0" applyFont="true" applyBorder="false" applyAlignment="true" applyProtection="false">
      <alignment horizontal="left" vertical="center" textRotation="0" wrapText="false" indent="0" shrinkToFit="false"/>
      <protection locked="true" hidden="false"/>
    </xf>
    <xf numFmtId="165" fontId="7" fillId="2" borderId="0" xfId="0" applyFont="true" applyBorder="false" applyAlignment="true" applyProtection="false">
      <alignment horizontal="center" vertical="center" textRotation="0" wrapText="false" indent="0" shrinkToFit="false"/>
      <protection locked="true" hidden="false"/>
    </xf>
    <xf numFmtId="164" fontId="19" fillId="2" borderId="1" xfId="0" applyFont="true" applyBorder="true" applyAlignment="true" applyProtection="false">
      <alignment horizontal="center" vertical="center" textRotation="0" wrapText="false" indent="0" shrinkToFit="false"/>
      <protection locked="true" hidden="false"/>
    </xf>
    <xf numFmtId="164" fontId="0" fillId="2"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right" vertical="center"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22" fillId="0" borderId="0" xfId="0" applyFont="true" applyBorder="false" applyAlignment="true" applyProtection="false">
      <alignment horizontal="left" vertical="center" textRotation="0" wrapText="false" indent="1" shrinkToFit="false"/>
      <protection locked="true" hidden="false"/>
    </xf>
    <xf numFmtId="164" fontId="22" fillId="0" borderId="0" xfId="0" applyFont="true" applyBorder="false" applyAlignment="true" applyProtection="false">
      <alignment horizontal="left" vertical="center" textRotation="0" wrapText="false" indent="0" shrinkToFit="false"/>
      <protection locked="true" hidden="false"/>
    </xf>
    <xf numFmtId="164" fontId="23" fillId="0" borderId="0" xfId="0" applyFont="true" applyBorder="false" applyAlignment="true" applyProtection="false">
      <alignment horizontal="left" vertical="center" textRotation="0" wrapText="false" indent="0" shrinkToFit="false"/>
      <protection locked="true" hidden="false"/>
    </xf>
    <xf numFmtId="164" fontId="19" fillId="0" borderId="0" xfId="0" applyFont="true" applyBorder="false" applyAlignment="true" applyProtection="false">
      <alignment horizontal="left" vertical="top" textRotation="0" wrapText="false" indent="1" shrinkToFit="false"/>
      <protection locked="true" hidden="false"/>
    </xf>
    <xf numFmtId="164" fontId="24"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left" vertical="top" textRotation="0" wrapText="false" indent="0" shrinkToFit="false"/>
      <protection locked="true" hidden="false"/>
    </xf>
    <xf numFmtId="164" fontId="8" fillId="0" borderId="0" xfId="0" applyFont="true" applyBorder="false" applyAlignment="true" applyProtection="false">
      <alignment horizontal="left" vertical="center" textRotation="0" wrapText="false" indent="1"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left" vertical="top" textRotation="0" wrapText="true" indent="1" shrinkToFit="false"/>
      <protection locked="true" hidden="false"/>
    </xf>
    <xf numFmtId="164" fontId="0" fillId="0" borderId="0" xfId="0" applyFont="true" applyBorder="false" applyAlignment="true" applyProtection="false">
      <alignment horizontal="left" vertical="top" textRotation="0" wrapText="true" indent="1" shrinkToFit="false"/>
      <protection locked="true" hidden="false"/>
    </xf>
    <xf numFmtId="164" fontId="13" fillId="0" borderId="0" xfId="20" applyFont="true" applyBorder="true" applyAlignment="true" applyProtection="true">
      <alignment horizontal="left" vertical="top" textRotation="0" wrapText="false" indent="1" shrinkToFit="false"/>
      <protection locked="true" hidden="false"/>
    </xf>
    <xf numFmtId="164" fontId="7" fillId="0" borderId="0" xfId="0" applyFont="true" applyBorder="false" applyAlignment="true" applyProtection="false">
      <alignment horizontal="left" vertical="top" textRotation="0" wrapText="false" indent="1" shrinkToFit="false"/>
      <protection locked="true" hidden="false"/>
    </xf>
  </cellXfs>
  <cellStyles count="15">
    <cellStyle name="Normal" xfId="0" builtinId="0"/>
    <cellStyle name="Comma" xfId="15" builtinId="3"/>
    <cellStyle name="Comma [0]" xfId="16" builtinId="6"/>
    <cellStyle name="Currency" xfId="17" builtinId="4"/>
    <cellStyle name="Currency [0]" xfId="18" builtinId="7"/>
    <cellStyle name="Percent" xfId="19" builtinId="5"/>
    <cellStyle name="Date" xfId="21"/>
    <cellStyle name="Name" xfId="22"/>
    <cellStyle name="Project Start" xfId="23"/>
    <cellStyle name="Task" xfId="24"/>
    <cellStyle name="zHiddenText" xfId="25"/>
    <cellStyle name="Excel Built-in Title" xfId="26"/>
    <cellStyle name="Excel Built-in Heading 3" xfId="27"/>
    <cellStyle name="Excel Built-in Heading 1" xfId="28"/>
    <cellStyle name="*unknown*" xfId="20" builtinId="8"/>
  </cellStyles>
  <dxfs count="9">
    <dxf>
      <border diagonalUp="false" diagonalDown="false">
        <left style="thin">
          <color theme="5"/>
        </left>
        <right style="thin">
          <color theme="5"/>
        </right>
        <top/>
        <bottom/>
        <diagonal/>
      </border>
    </dxf>
    <dxf>
      <fill>
        <patternFill>
          <bgColor theme="6" tint="0.7999"/>
        </patternFill>
      </fill>
      <border diagonalUp="false" diagonalDown="false">
        <left/>
        <right/>
        <top style="thin">
          <color theme="0" tint="-0.05"/>
        </top>
        <bottom style="thin">
          <color theme="0" tint="-0.05"/>
        </bottom>
        <diagonal/>
      </border>
    </dxf>
    <dxf>
      <fill>
        <patternFill>
          <bgColor theme="6" tint="0.3999"/>
        </patternFill>
      </fill>
      <border diagonalUp="false" diagonalDown="false">
        <left/>
        <right/>
        <top style="thin">
          <color theme="0" tint="-0.05"/>
        </top>
        <bottom style="thin">
          <color theme="0" tint="-0.05"/>
        </bottom>
        <diagonal/>
      </border>
    </dxf>
    <dxf>
      <fill>
        <patternFill>
          <bgColor theme="5" tint="0.7999"/>
        </patternFill>
      </fill>
    </dxf>
    <dxf>
      <fill>
        <patternFill>
          <bgColor theme="5" tint="0.3999"/>
        </patternFill>
      </fill>
      <border diagonalUp="false" diagonalDown="false">
        <left/>
        <right/>
        <top style="thin">
          <color theme="0" tint="-0.05"/>
        </top>
        <bottom style="thin">
          <color theme="0" tint="-0.05"/>
        </bottom>
        <diagonal/>
      </border>
    </dxf>
    <dxf>
      <fill>
        <patternFill>
          <bgColor theme="4" tint="0.7999"/>
        </patternFill>
      </fill>
      <border diagonalUp="false" diagonalDown="false">
        <left/>
        <right/>
        <top style="thin">
          <color theme="0" tint="-0.05"/>
        </top>
        <bottom style="thin">
          <color theme="0" tint="-0.05"/>
        </bottom>
        <diagonal/>
      </border>
    </dxf>
    <dxf>
      <fill>
        <patternFill>
          <bgColor theme="4" tint="0.3999"/>
        </patternFill>
      </fill>
      <border diagonalUp="false" diagonalDown="false">
        <left/>
        <right/>
        <top style="thin">
          <color theme="0" tint="-0.05"/>
        </top>
        <bottom style="thin">
          <color theme="0" tint="-0.05"/>
        </bottom>
        <diagonal/>
      </border>
    </dxf>
    <dxf>
      <fill>
        <patternFill>
          <bgColor theme="8" tint="0.5999"/>
        </patternFill>
      </fill>
      <border diagonalUp="false" diagonalDown="false">
        <left/>
        <right/>
        <top/>
        <bottom/>
        <diagonal/>
      </border>
    </dxf>
    <dxf>
      <fill>
        <patternFill>
          <bgColor theme="8"/>
        </patternFill>
      </fill>
      <border diagonalUp="false" diagonalDown="false">
        <left/>
        <right/>
        <top/>
        <bottom/>
        <diagonal/>
      </border>
    </dxf>
  </dxfs>
  <colors>
    <indexedColors>
      <rgbColor rgb="FF000000"/>
      <rgbColor rgb="FFFFFFFF"/>
      <rgbColor rgb="FFFF0000"/>
      <rgbColor rgb="FF00FF00"/>
      <rgbColor rgb="FF0000FF"/>
      <rgbColor rgb="FFFFFF00"/>
      <rgbColor rgb="FFD800A6"/>
      <rgbColor rgb="FF00FFFF"/>
      <rgbColor rgb="FF800000"/>
      <rgbColor rgb="FF008000"/>
      <rgbColor rgb="FF000080"/>
      <rgbColor rgb="FF808000"/>
      <rgbColor rgb="FF800080"/>
      <rgbColor rgb="FF008080"/>
      <rgbColor rgb="FFD9D9D9"/>
      <rgbColor rgb="FF7F7F7F"/>
      <rgbColor rgb="FFA37EFA"/>
      <rgbColor rgb="FF993366"/>
      <rgbColor rgb="FFFFF9D4"/>
      <rgbColor rgb="FFE5F4EB"/>
      <rgbColor rgb="FF660066"/>
      <rgbColor rgb="FFFF4FD6"/>
      <rgbColor rgb="FF1363DF"/>
      <rgbColor rgb="FFE0D4FD"/>
      <rgbColor rgb="FF000080"/>
      <rgbColor rgb="FFFF00FF"/>
      <rgbColor rgb="FFFFFF00"/>
      <rgbColor rgb="FF00FFFF"/>
      <rgbColor rgb="FF800080"/>
      <rgbColor rgb="FF800000"/>
      <rgbColor rgb="FF008080"/>
      <rgbColor rgb="FF0000FF"/>
      <rgbColor rgb="FF00CCFF"/>
      <rgbColor rgb="FFF2F2F2"/>
      <rgbColor rgb="FFCBEAD7"/>
      <rgbColor rgb="FFFFF3A9"/>
      <rgbColor rgb="FFB2DFC4"/>
      <rgbColor rgb="FFFF89E4"/>
      <rgbColor rgb="FFC1A9FC"/>
      <rgbColor rgb="FFFFC4F1"/>
      <rgbColor rgb="FF3366FF"/>
      <rgbColor rgb="FF33CCCC"/>
      <rgbColor rgb="FF99CC00"/>
      <rgbColor rgb="FFFFE227"/>
      <rgbColor rgb="FFFF9900"/>
      <rgbColor rgb="FFFF6600"/>
      <rgbColor rgb="FF595959"/>
      <rgbColor rgb="FFA6A6A6"/>
      <rgbColor rgb="FF003366"/>
      <rgbColor rgb="FF339966"/>
      <rgbColor rgb="FF003300"/>
      <rgbColor rgb="FF333300"/>
      <rgbColor rgb="FF993300"/>
      <rgbColor rgb="FF993366"/>
      <rgbColor rgb="FF333399"/>
      <rgbColor rgb="FF1D212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hyperlink" Target="https://www.vertex42.com/ExcelTemplates/simple-gantt-chart.html?utm_source=ms&amp;utm_medium=file&amp;utm_campaign=office&amp;utm_content=logo" TargetMode="External"/><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2</xdr:row>
      <xdr:rowOff>0</xdr:rowOff>
    </xdr:from>
    <xdr:to>
      <xdr:col>22</xdr:col>
      <xdr:colOff>638280</xdr:colOff>
      <xdr:row>37</xdr:row>
      <xdr:rowOff>92520</xdr:rowOff>
    </xdr:to>
    <xdr:pic>
      <xdr:nvPicPr>
        <xdr:cNvPr id="0" name="Picture 1" descr=""/>
        <xdr:cNvPicPr/>
      </xdr:nvPicPr>
      <xdr:blipFill>
        <a:blip r:embed="rId1"/>
        <a:stretch/>
      </xdr:blipFill>
      <xdr:spPr>
        <a:xfrm>
          <a:off x="5339160" y="361800"/>
          <a:ext cx="9981720" cy="64267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95400</xdr:rowOff>
    </xdr:from>
    <xdr:to>
      <xdr:col>0</xdr:col>
      <xdr:colOff>1904760</xdr:colOff>
      <xdr:row>0</xdr:row>
      <xdr:rowOff>523800</xdr:rowOff>
    </xdr:to>
    <xdr:pic>
      <xdr:nvPicPr>
        <xdr:cNvPr id="1" name="Picture 1" descr="Vertex42 logo">
          <a:hlinkClick r:id="rId1"/>
        </xdr:cNvPr>
        <xdr:cNvPicPr/>
      </xdr:nvPicPr>
      <xdr:blipFill>
        <a:blip r:embed="rId2"/>
        <a:stretch/>
      </xdr:blipFill>
      <xdr:spPr>
        <a:xfrm>
          <a:off x="0" y="95400"/>
          <a:ext cx="1904760" cy="42840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pitchFamily="0" charset="1"/>
        <a:ea typeface=""/>
        <a:cs typeface=""/>
      </a:majorFont>
      <a:minorFont>
        <a:latin typeface="Arial"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3" Type="http://schemas.openxmlformats.org/officeDocument/2006/relationships/hyperlink" Target="https://www.vertex42.com/ExcelTemplates/excel-project-management.html?utm_source=ms&amp;utm_medium=file&amp;utm_campaign=office&amp;utm_content=text" TargetMode="External"/><Relationship Id="rId4"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K34"/>
  <sheetViews>
    <sheetView showFormulas="false" showGridLines="false" showRowColHeaders="true" showZeros="true" rightToLeft="false" tabSelected="true" showOutlineSymbols="true" defaultGridColor="true" view="normal" topLeftCell="J1" colorId="64" zoomScale="100" zoomScaleNormal="100" zoomScalePageLayoutView="100" workbookViewId="0">
      <selection pane="topLeft" activeCell="Y10" activeCellId="0" sqref="Y10"/>
    </sheetView>
  </sheetViews>
  <sheetFormatPr defaultColWidth="8.7578125" defaultRowHeight="30" zeroHeight="false" outlineLevelRow="0" outlineLevelCol="0"/>
  <cols>
    <col collapsed="false" customWidth="true" hidden="false" outlineLevel="0" max="1" min="1" style="1" width="2.76"/>
    <col collapsed="false" customWidth="true" hidden="false" outlineLevel="0" max="2" min="2" style="0" width="33.88"/>
    <col collapsed="false" customWidth="true" hidden="false" outlineLevel="0" max="3" min="3" style="0" width="10.75"/>
    <col collapsed="false" customWidth="true" hidden="false" outlineLevel="0" max="4" min="4" style="2" width="10.75"/>
    <col collapsed="false" customWidth="true" hidden="false" outlineLevel="0" max="5" min="5" style="0" width="10.75"/>
    <col collapsed="false" customWidth="true" hidden="false" outlineLevel="0" max="6" min="6" style="0" width="2.76"/>
    <col collapsed="false" customWidth="true" hidden="true" outlineLevel="0" max="7" min="7" style="0" width="6"/>
    <col collapsed="false" customWidth="true" hidden="false" outlineLevel="0" max="64" min="8" style="0" width="2.76"/>
  </cols>
  <sheetData>
    <row r="1" customFormat="false" ht="90" hidden="false" customHeight="true" outlineLevel="0" collapsed="false">
      <c r="A1" s="3"/>
      <c r="B1" s="4" t="s">
        <v>0</v>
      </c>
      <c r="C1" s="4"/>
      <c r="D1" s="4"/>
      <c r="E1" s="5"/>
      <c r="G1" s="6"/>
      <c r="H1" s="7" t="s">
        <v>1</v>
      </c>
      <c r="I1" s="7"/>
      <c r="J1" s="7"/>
      <c r="K1" s="7"/>
      <c r="L1" s="7"/>
      <c r="M1" s="7"/>
      <c r="N1" s="7"/>
      <c r="O1" s="8"/>
      <c r="P1" s="9" t="n">
        <v>46218</v>
      </c>
      <c r="Q1" s="9"/>
      <c r="R1" s="9"/>
      <c r="S1" s="9"/>
      <c r="T1" s="9"/>
      <c r="U1" s="9"/>
      <c r="V1" s="9"/>
      <c r="W1" s="9"/>
      <c r="X1" s="9"/>
      <c r="Y1" s="9"/>
      <c r="Z1" s="10" t="s">
        <v>2</v>
      </c>
      <c r="AA1" s="10"/>
      <c r="AB1" s="10"/>
      <c r="AC1" s="10"/>
      <c r="AD1" s="10"/>
      <c r="AE1" s="10"/>
      <c r="AG1" s="9" t="s">
        <v>3</v>
      </c>
      <c r="AH1" s="9"/>
      <c r="AI1" s="9"/>
      <c r="AJ1" s="9"/>
      <c r="AK1" s="9"/>
      <c r="AL1" s="9"/>
      <c r="AM1" s="9"/>
      <c r="AN1" s="9"/>
    </row>
    <row r="2" customFormat="false" ht="30" hidden="false" customHeight="true" outlineLevel="0" collapsed="false">
      <c r="B2" s="11"/>
      <c r="C2" s="12"/>
      <c r="D2" s="13"/>
      <c r="E2" s="12"/>
      <c r="H2" s="7" t="s">
        <v>4</v>
      </c>
      <c r="I2" s="7"/>
      <c r="J2" s="7"/>
      <c r="K2" s="7"/>
      <c r="L2" s="7"/>
      <c r="M2" s="7"/>
      <c r="N2" s="7"/>
      <c r="O2" s="8"/>
      <c r="P2" s="14" t="n">
        <v>1</v>
      </c>
      <c r="Q2" s="14"/>
      <c r="R2" s="14"/>
      <c r="S2" s="14"/>
      <c r="T2" s="14"/>
      <c r="U2" s="14"/>
      <c r="V2" s="14"/>
      <c r="W2" s="14"/>
      <c r="X2" s="14"/>
      <c r="Y2" s="14"/>
    </row>
    <row r="3" s="12" customFormat="true" ht="30" hidden="false" customHeight="true" outlineLevel="0" collapsed="false">
      <c r="A3" s="1"/>
      <c r="B3" s="15"/>
      <c r="C3" s="16"/>
      <c r="D3" s="13"/>
    </row>
    <row r="4" s="12" customFormat="true" ht="30" hidden="false" customHeight="true" outlineLevel="0" collapsed="false">
      <c r="A4" s="3"/>
      <c r="B4" s="17"/>
      <c r="D4" s="18"/>
      <c r="H4" s="19" t="n">
        <f aca="false">H5</f>
        <v>46216</v>
      </c>
      <c r="I4" s="19"/>
      <c r="J4" s="19"/>
      <c r="K4" s="19"/>
      <c r="L4" s="19"/>
      <c r="M4" s="19"/>
      <c r="N4" s="19"/>
      <c r="O4" s="20" t="n">
        <f aca="false">O5</f>
        <v>46223</v>
      </c>
      <c r="P4" s="20"/>
      <c r="Q4" s="20"/>
      <c r="R4" s="20"/>
      <c r="S4" s="20"/>
      <c r="T4" s="20"/>
      <c r="U4" s="20"/>
      <c r="V4" s="20" t="n">
        <f aca="false">V5</f>
        <v>46230</v>
      </c>
      <c r="W4" s="20"/>
      <c r="X4" s="20"/>
      <c r="Y4" s="20"/>
      <c r="Z4" s="20"/>
      <c r="AA4" s="20"/>
      <c r="AB4" s="20"/>
      <c r="AC4" s="20" t="n">
        <f aca="false">AC5</f>
        <v>46237</v>
      </c>
      <c r="AD4" s="20"/>
      <c r="AE4" s="20"/>
      <c r="AF4" s="20"/>
      <c r="AG4" s="20"/>
      <c r="AH4" s="20"/>
      <c r="AI4" s="20"/>
      <c r="AJ4" s="20" t="n">
        <f aca="false">AJ5</f>
        <v>46244</v>
      </c>
      <c r="AK4" s="20"/>
      <c r="AL4" s="20"/>
      <c r="AM4" s="20"/>
      <c r="AN4" s="20"/>
      <c r="AO4" s="20"/>
      <c r="AP4" s="20"/>
      <c r="AQ4" s="20" t="n">
        <f aca="false">AQ5</f>
        <v>46251</v>
      </c>
      <c r="AR4" s="20"/>
      <c r="AS4" s="20"/>
      <c r="AT4" s="20"/>
      <c r="AU4" s="20"/>
      <c r="AV4" s="20"/>
      <c r="AW4" s="20"/>
      <c r="AX4" s="20" t="n">
        <f aca="false">AX5</f>
        <v>46258</v>
      </c>
      <c r="AY4" s="20"/>
      <c r="AZ4" s="20"/>
      <c r="BA4" s="20"/>
      <c r="BB4" s="20"/>
      <c r="BC4" s="20"/>
      <c r="BD4" s="20"/>
      <c r="BE4" s="21" t="n">
        <f aca="false">BE5</f>
        <v>46265</v>
      </c>
      <c r="BF4" s="21"/>
      <c r="BG4" s="21"/>
      <c r="BH4" s="21"/>
      <c r="BI4" s="21"/>
      <c r="BJ4" s="21"/>
      <c r="BK4" s="21"/>
    </row>
    <row r="5" s="12" customFormat="true" ht="15" hidden="false" customHeight="true" outlineLevel="0" collapsed="false">
      <c r="A5" s="22"/>
      <c r="B5" s="23" t="s">
        <v>5</v>
      </c>
      <c r="C5" s="24" t="s">
        <v>6</v>
      </c>
      <c r="D5" s="24" t="s">
        <v>7</v>
      </c>
      <c r="E5" s="24" t="s">
        <v>8</v>
      </c>
      <c r="H5" s="25" t="n">
        <f aca="false">Project_Start-WEEKDAY(Project_Start,1)+2+7*(Display_Week-1)</f>
        <v>46216</v>
      </c>
      <c r="I5" s="25" t="n">
        <f aca="false">H5+1</f>
        <v>46217</v>
      </c>
      <c r="J5" s="25" t="n">
        <f aca="false">I5+1</f>
        <v>46218</v>
      </c>
      <c r="K5" s="25" t="n">
        <f aca="false">J5+1</f>
        <v>46219</v>
      </c>
      <c r="L5" s="25" t="n">
        <f aca="false">K5+1</f>
        <v>46220</v>
      </c>
      <c r="M5" s="25" t="n">
        <f aca="false">L5+1</f>
        <v>46221</v>
      </c>
      <c r="N5" s="26" t="n">
        <f aca="false">M5+1</f>
        <v>46222</v>
      </c>
      <c r="O5" s="27" t="n">
        <f aca="false">N5+1</f>
        <v>46223</v>
      </c>
      <c r="P5" s="25" t="n">
        <f aca="false">O5+1</f>
        <v>46224</v>
      </c>
      <c r="Q5" s="25" t="n">
        <f aca="false">P5+1</f>
        <v>46225</v>
      </c>
      <c r="R5" s="25" t="n">
        <f aca="false">Q5+1</f>
        <v>46226</v>
      </c>
      <c r="S5" s="25" t="n">
        <f aca="false">R5+1</f>
        <v>46227</v>
      </c>
      <c r="T5" s="25" t="n">
        <f aca="false">S5+1</f>
        <v>46228</v>
      </c>
      <c r="U5" s="26" t="n">
        <f aca="false">T5+1</f>
        <v>46229</v>
      </c>
      <c r="V5" s="27" t="n">
        <f aca="false">U5+1</f>
        <v>46230</v>
      </c>
      <c r="W5" s="25" t="n">
        <f aca="false">V5+1</f>
        <v>46231</v>
      </c>
      <c r="X5" s="25" t="n">
        <f aca="false">W5+1</f>
        <v>46232</v>
      </c>
      <c r="Y5" s="25" t="n">
        <f aca="false">X5+1</f>
        <v>46233</v>
      </c>
      <c r="Z5" s="25" t="n">
        <f aca="false">Y5+1</f>
        <v>46234</v>
      </c>
      <c r="AA5" s="25" t="n">
        <f aca="false">Z5+1</f>
        <v>46235</v>
      </c>
      <c r="AB5" s="26" t="n">
        <f aca="false">AA5+1</f>
        <v>46236</v>
      </c>
      <c r="AC5" s="27" t="n">
        <f aca="false">AB5+1</f>
        <v>46237</v>
      </c>
      <c r="AD5" s="25" t="n">
        <f aca="false">AC5+1</f>
        <v>46238</v>
      </c>
      <c r="AE5" s="25" t="n">
        <f aca="false">AD5+1</f>
        <v>46239</v>
      </c>
      <c r="AF5" s="25" t="n">
        <f aca="false">AE5+1</f>
        <v>46240</v>
      </c>
      <c r="AG5" s="25" t="n">
        <f aca="false">AF5+1</f>
        <v>46241</v>
      </c>
      <c r="AH5" s="25" t="n">
        <f aca="false">AG5+1</f>
        <v>46242</v>
      </c>
      <c r="AI5" s="26" t="n">
        <f aca="false">AH5+1</f>
        <v>46243</v>
      </c>
      <c r="AJ5" s="27" t="n">
        <f aca="false">AI5+1</f>
        <v>46244</v>
      </c>
      <c r="AK5" s="25" t="n">
        <f aca="false">AJ5+1</f>
        <v>46245</v>
      </c>
      <c r="AL5" s="25" t="n">
        <f aca="false">AK5+1</f>
        <v>46246</v>
      </c>
      <c r="AM5" s="25" t="n">
        <f aca="false">AL5+1</f>
        <v>46247</v>
      </c>
      <c r="AN5" s="28" t="n">
        <f aca="false">AM5+1</f>
        <v>46248</v>
      </c>
      <c r="AO5" s="25" t="n">
        <f aca="false">AN5+1</f>
        <v>46249</v>
      </c>
      <c r="AP5" s="26" t="n">
        <f aca="false">AO5+1</f>
        <v>46250</v>
      </c>
      <c r="AQ5" s="27" t="n">
        <f aca="false">AP5+1</f>
        <v>46251</v>
      </c>
      <c r="AR5" s="25" t="n">
        <f aca="false">AQ5+1</f>
        <v>46252</v>
      </c>
      <c r="AS5" s="25" t="n">
        <f aca="false">AR5+1</f>
        <v>46253</v>
      </c>
      <c r="AT5" s="25" t="n">
        <f aca="false">AS5+1</f>
        <v>46254</v>
      </c>
      <c r="AU5" s="25" t="n">
        <f aca="false">AT5+1</f>
        <v>46255</v>
      </c>
      <c r="AV5" s="25" t="n">
        <f aca="false">AU5+1</f>
        <v>46256</v>
      </c>
      <c r="AW5" s="26" t="n">
        <f aca="false">AV5+1</f>
        <v>46257</v>
      </c>
      <c r="AX5" s="27" t="n">
        <f aca="false">AW5+1</f>
        <v>46258</v>
      </c>
      <c r="AY5" s="25" t="n">
        <f aca="false">AX5+1</f>
        <v>46259</v>
      </c>
      <c r="AZ5" s="25" t="n">
        <f aca="false">AY5+1</f>
        <v>46260</v>
      </c>
      <c r="BA5" s="25" t="n">
        <f aca="false">AZ5+1</f>
        <v>46261</v>
      </c>
      <c r="BB5" s="25" t="n">
        <f aca="false">BA5+1</f>
        <v>46262</v>
      </c>
      <c r="BC5" s="25" t="n">
        <f aca="false">BB5+1</f>
        <v>46263</v>
      </c>
      <c r="BD5" s="26" t="n">
        <f aca="false">BC5+1</f>
        <v>46264</v>
      </c>
      <c r="BE5" s="27" t="n">
        <f aca="false">BD5+1</f>
        <v>46265</v>
      </c>
      <c r="BF5" s="25" t="n">
        <f aca="false">BE5+1</f>
        <v>46266</v>
      </c>
      <c r="BG5" s="25" t="n">
        <f aca="false">BF5+1</f>
        <v>46267</v>
      </c>
      <c r="BH5" s="25" t="n">
        <f aca="false">BG5+1</f>
        <v>46268</v>
      </c>
      <c r="BI5" s="25" t="n">
        <f aca="false">BH5+1</f>
        <v>46269</v>
      </c>
      <c r="BJ5" s="25" t="n">
        <f aca="false">BI5+1</f>
        <v>46270</v>
      </c>
      <c r="BK5" s="25" t="n">
        <f aca="false">BJ5+1</f>
        <v>46271</v>
      </c>
    </row>
    <row r="6" s="12" customFormat="true" ht="15" hidden="false" customHeight="true" outlineLevel="0" collapsed="false">
      <c r="A6" s="22"/>
      <c r="B6" s="23"/>
      <c r="C6" s="24"/>
      <c r="D6" s="24"/>
      <c r="E6" s="24"/>
      <c r="H6" s="29" t="str">
        <f aca="false">LEFT(TEXT(H5,"ddd"),1)</f>
        <v>M</v>
      </c>
      <c r="I6" s="30" t="str">
        <f aca="false">LEFT(TEXT(I5,"ddd"),1)</f>
        <v>T</v>
      </c>
      <c r="J6" s="30" t="str">
        <f aca="false">LEFT(TEXT(J5,"ddd"),1)</f>
        <v>W</v>
      </c>
      <c r="K6" s="30" t="str">
        <f aca="false">LEFT(TEXT(K5,"ddd"),1)</f>
        <v>T</v>
      </c>
      <c r="L6" s="30" t="str">
        <f aca="false">LEFT(TEXT(L5,"ddd"),1)</f>
        <v>F</v>
      </c>
      <c r="M6" s="30" t="str">
        <f aca="false">LEFT(TEXT(M5,"ddd"),1)</f>
        <v>S</v>
      </c>
      <c r="N6" s="30" t="str">
        <f aca="false">LEFT(TEXT(N5,"ddd"),1)</f>
        <v>S</v>
      </c>
      <c r="O6" s="30" t="str">
        <f aca="false">LEFT(TEXT(O5,"ddd"),1)</f>
        <v>M</v>
      </c>
      <c r="P6" s="30" t="str">
        <f aca="false">LEFT(TEXT(P5,"ddd"),1)</f>
        <v>T</v>
      </c>
      <c r="Q6" s="30" t="str">
        <f aca="false">LEFT(TEXT(Q5,"ddd"),1)</f>
        <v>W</v>
      </c>
      <c r="R6" s="30" t="str">
        <f aca="false">LEFT(TEXT(R5,"ddd"),1)</f>
        <v>T</v>
      </c>
      <c r="S6" s="30" t="str">
        <f aca="false">LEFT(TEXT(S5,"ddd"),1)</f>
        <v>F</v>
      </c>
      <c r="T6" s="30" t="str">
        <f aca="false">LEFT(TEXT(T5,"ddd"),1)</f>
        <v>S</v>
      </c>
      <c r="U6" s="30" t="str">
        <f aca="false">LEFT(TEXT(U5,"ddd"),1)</f>
        <v>S</v>
      </c>
      <c r="V6" s="30" t="str">
        <f aca="false">LEFT(TEXT(V5,"ddd"),1)</f>
        <v>M</v>
      </c>
      <c r="W6" s="30" t="str">
        <f aca="false">LEFT(TEXT(W5,"ddd"),1)</f>
        <v>T</v>
      </c>
      <c r="X6" s="30" t="str">
        <f aca="false">LEFT(TEXT(X5,"ddd"),1)</f>
        <v>W</v>
      </c>
      <c r="Y6" s="30" t="str">
        <f aca="false">LEFT(TEXT(Y5,"ddd"),1)</f>
        <v>T</v>
      </c>
      <c r="Z6" s="30" t="str">
        <f aca="false">LEFT(TEXT(Z5,"ddd"),1)</f>
        <v>F</v>
      </c>
      <c r="AA6" s="30" t="str">
        <f aca="false">LEFT(TEXT(AA5,"ddd"),1)</f>
        <v>S</v>
      </c>
      <c r="AB6" s="30" t="str">
        <f aca="false">LEFT(TEXT(AB5,"ddd"),1)</f>
        <v>S</v>
      </c>
      <c r="AC6" s="30" t="str">
        <f aca="false">LEFT(TEXT(AC5,"ddd"),1)</f>
        <v>M</v>
      </c>
      <c r="AD6" s="30" t="str">
        <f aca="false">LEFT(TEXT(AD5,"ddd"),1)</f>
        <v>T</v>
      </c>
      <c r="AE6" s="30" t="str">
        <f aca="false">LEFT(TEXT(AE5,"ddd"),1)</f>
        <v>W</v>
      </c>
      <c r="AF6" s="30" t="str">
        <f aca="false">LEFT(TEXT(AF5,"ddd"),1)</f>
        <v>T</v>
      </c>
      <c r="AG6" s="30" t="str">
        <f aca="false">LEFT(TEXT(AG5,"ddd"),1)</f>
        <v>F</v>
      </c>
      <c r="AH6" s="30" t="str">
        <f aca="false">LEFT(TEXT(AH5,"ddd"),1)</f>
        <v>S</v>
      </c>
      <c r="AI6" s="30" t="str">
        <f aca="false">LEFT(TEXT(AI5,"ddd"),1)</f>
        <v>S</v>
      </c>
      <c r="AJ6" s="30" t="str">
        <f aca="false">LEFT(TEXT(AJ5,"ddd"),1)</f>
        <v>M</v>
      </c>
      <c r="AK6" s="30" t="str">
        <f aca="false">LEFT(TEXT(AK5,"ddd"),1)</f>
        <v>T</v>
      </c>
      <c r="AL6" s="30" t="str">
        <f aca="false">LEFT(TEXT(AL5,"ddd"),1)</f>
        <v>W</v>
      </c>
      <c r="AM6" s="31" t="str">
        <f aca="false">LEFT(TEXT(AM5,"ddd"),1)</f>
        <v>T</v>
      </c>
      <c r="AN6" s="32" t="str">
        <f aca="false">LEFT(TEXT(AN5,"ddd"),1)</f>
        <v>F</v>
      </c>
      <c r="AO6" s="29" t="str">
        <f aca="false">LEFT(TEXT(AO5,"ddd"),1)</f>
        <v>S</v>
      </c>
      <c r="AP6" s="30" t="str">
        <f aca="false">LEFT(TEXT(AP5,"ddd"),1)</f>
        <v>S</v>
      </c>
      <c r="AQ6" s="30" t="str">
        <f aca="false">LEFT(TEXT(AQ5,"ddd"),1)</f>
        <v>M</v>
      </c>
      <c r="AR6" s="30" t="str">
        <f aca="false">LEFT(TEXT(AR5,"ddd"),1)</f>
        <v>T</v>
      </c>
      <c r="AS6" s="30" t="str">
        <f aca="false">LEFT(TEXT(AS5,"ddd"),1)</f>
        <v>W</v>
      </c>
      <c r="AT6" s="30" t="str">
        <f aca="false">LEFT(TEXT(AT5,"ddd"),1)</f>
        <v>T</v>
      </c>
      <c r="AU6" s="30" t="str">
        <f aca="false">LEFT(TEXT(AU5,"ddd"),1)</f>
        <v>F</v>
      </c>
      <c r="AV6" s="30" t="str">
        <f aca="false">LEFT(TEXT(AV5,"ddd"),1)</f>
        <v>S</v>
      </c>
      <c r="AW6" s="30" t="str">
        <f aca="false">LEFT(TEXT(AW5,"ddd"),1)</f>
        <v>S</v>
      </c>
      <c r="AX6" s="30" t="str">
        <f aca="false">LEFT(TEXT(AX5,"ddd"),1)</f>
        <v>M</v>
      </c>
      <c r="AY6" s="30" t="str">
        <f aca="false">LEFT(TEXT(AY5,"ddd"),1)</f>
        <v>T</v>
      </c>
      <c r="AZ6" s="30" t="str">
        <f aca="false">LEFT(TEXT(AZ5,"ddd"),1)</f>
        <v>W</v>
      </c>
      <c r="BA6" s="30" t="str">
        <f aca="false">LEFT(TEXT(BA5,"ddd"),1)</f>
        <v>T</v>
      </c>
      <c r="BB6" s="30" t="str">
        <f aca="false">LEFT(TEXT(BB5,"ddd"),1)</f>
        <v>F</v>
      </c>
      <c r="BC6" s="30" t="str">
        <f aca="false">LEFT(TEXT(BC5,"ddd"),1)</f>
        <v>S</v>
      </c>
      <c r="BD6" s="30" t="str">
        <f aca="false">LEFT(TEXT(BD5,"ddd"),1)</f>
        <v>S</v>
      </c>
      <c r="BE6" s="30" t="str">
        <f aca="false">LEFT(TEXT(BE5,"ddd"),1)</f>
        <v>M</v>
      </c>
      <c r="BF6" s="30" t="str">
        <f aca="false">LEFT(TEXT(BF5,"ddd"),1)</f>
        <v>T</v>
      </c>
      <c r="BG6" s="30" t="str">
        <f aca="false">LEFT(TEXT(BG5,"ddd"),1)</f>
        <v>W</v>
      </c>
      <c r="BH6" s="30" t="str">
        <f aca="false">LEFT(TEXT(BH5,"ddd"),1)</f>
        <v>T</v>
      </c>
      <c r="BI6" s="30" t="str">
        <f aca="false">LEFT(TEXT(BI5,"ddd"),1)</f>
        <v>F</v>
      </c>
      <c r="BJ6" s="30" t="str">
        <f aca="false">LEFT(TEXT(BJ5,"ddd"),1)</f>
        <v>S</v>
      </c>
      <c r="BK6" s="31" t="str">
        <f aca="false">LEFT(TEXT(BK5,"ddd"),1)</f>
        <v>S</v>
      </c>
    </row>
    <row r="7" s="12" customFormat="true" ht="30" hidden="true" customHeight="true" outlineLevel="0" collapsed="false">
      <c r="A7" s="1" t="s">
        <v>9</v>
      </c>
      <c r="B7" s="33"/>
      <c r="C7" s="33"/>
      <c r="D7" s="33"/>
      <c r="E7" s="33"/>
      <c r="G7" s="12" t="str">
        <f aca="false">IF(OR(ISBLANK(task_start),ISBLANK(task_end)),"",task_end-task_start+1)</f>
        <v/>
      </c>
      <c r="H7" s="34"/>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c r="AM7" s="35"/>
      <c r="AN7" s="36"/>
      <c r="AO7" s="37"/>
      <c r="AP7" s="34"/>
      <c r="AQ7" s="34"/>
      <c r="AR7" s="34"/>
      <c r="AS7" s="34"/>
      <c r="AT7" s="34"/>
      <c r="AU7" s="34"/>
      <c r="AV7" s="34"/>
      <c r="AW7" s="34"/>
      <c r="AX7" s="34"/>
      <c r="AY7" s="34"/>
      <c r="AZ7" s="34"/>
      <c r="BA7" s="34"/>
      <c r="BB7" s="34"/>
      <c r="BC7" s="34"/>
      <c r="BD7" s="34"/>
      <c r="BE7" s="34"/>
      <c r="BF7" s="34"/>
      <c r="BG7" s="34"/>
      <c r="BH7" s="34"/>
      <c r="BI7" s="34"/>
      <c r="BJ7" s="34"/>
      <c r="BK7" s="34"/>
    </row>
    <row r="8" s="46" customFormat="true" ht="30" hidden="false" customHeight="true" outlineLevel="0" collapsed="false">
      <c r="A8" s="3"/>
      <c r="B8" s="38" t="s">
        <v>10</v>
      </c>
      <c r="C8" s="39"/>
      <c r="D8" s="40"/>
      <c r="E8" s="41"/>
      <c r="F8" s="42"/>
      <c r="G8" s="43" t="str">
        <f aca="false">IF(OR(ISBLANK(task_start),ISBLANK(task_end)),"",task_end-task_start+1)</f>
        <v/>
      </c>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5"/>
      <c r="AO8" s="44"/>
      <c r="AP8" s="44"/>
      <c r="AQ8" s="44"/>
      <c r="AR8" s="44"/>
      <c r="AS8" s="44"/>
      <c r="AT8" s="44"/>
      <c r="AU8" s="44"/>
      <c r="AV8" s="44"/>
      <c r="AW8" s="44"/>
      <c r="AX8" s="44"/>
      <c r="AY8" s="44"/>
      <c r="AZ8" s="44"/>
      <c r="BA8" s="44"/>
      <c r="BB8" s="44"/>
      <c r="BC8" s="44"/>
      <c r="BD8" s="44"/>
      <c r="BE8" s="44"/>
      <c r="BF8" s="44"/>
      <c r="BG8" s="44"/>
      <c r="BH8" s="44"/>
      <c r="BI8" s="44"/>
      <c r="BJ8" s="44"/>
      <c r="BK8" s="44"/>
    </row>
    <row r="9" s="46" customFormat="true" ht="30" hidden="false" customHeight="true" outlineLevel="0" collapsed="false">
      <c r="A9" s="3"/>
      <c r="B9" s="47" t="s">
        <v>11</v>
      </c>
      <c r="C9" s="48" t="n">
        <v>1</v>
      </c>
      <c r="D9" s="49" t="n">
        <f aca="false">Project_Start</f>
        <v>46218</v>
      </c>
      <c r="E9" s="49" t="n">
        <f aca="false">D9</f>
        <v>46218</v>
      </c>
      <c r="F9" s="42"/>
      <c r="G9" s="43" t="n">
        <f aca="false">IF(OR(ISBLANK(task_start),ISBLANK(task_end)),"",task_end-task_start+1)</f>
        <v>1</v>
      </c>
      <c r="H9" s="50"/>
      <c r="I9" s="50"/>
      <c r="J9" s="50"/>
      <c r="K9" s="50"/>
      <c r="L9" s="50"/>
      <c r="M9" s="50"/>
      <c r="N9" s="50"/>
      <c r="O9" s="50"/>
      <c r="P9" s="50"/>
      <c r="Q9" s="50"/>
      <c r="R9" s="50"/>
      <c r="S9" s="50"/>
      <c r="T9" s="50"/>
      <c r="U9" s="50"/>
      <c r="V9" s="50"/>
      <c r="W9" s="50"/>
      <c r="X9" s="50"/>
      <c r="Y9" s="50"/>
      <c r="Z9" s="50"/>
      <c r="AA9" s="50"/>
      <c r="AB9" s="50"/>
      <c r="AC9" s="50"/>
      <c r="AD9" s="50"/>
      <c r="AE9" s="50"/>
      <c r="AF9" s="50"/>
      <c r="AG9" s="50"/>
      <c r="AH9" s="50"/>
      <c r="AI9" s="50"/>
      <c r="AJ9" s="50"/>
      <c r="AK9" s="50"/>
      <c r="AL9" s="50"/>
      <c r="AM9" s="51"/>
      <c r="AN9" s="52"/>
      <c r="AO9" s="53"/>
      <c r="AP9" s="50"/>
      <c r="AQ9" s="50"/>
      <c r="AR9" s="50"/>
      <c r="AS9" s="50"/>
      <c r="AT9" s="50"/>
      <c r="AU9" s="50"/>
      <c r="AV9" s="50"/>
      <c r="AW9" s="50"/>
      <c r="AX9" s="50"/>
      <c r="AY9" s="50"/>
      <c r="AZ9" s="50"/>
      <c r="BA9" s="50"/>
      <c r="BB9" s="50"/>
      <c r="BC9" s="50"/>
      <c r="BD9" s="50"/>
      <c r="BE9" s="50"/>
      <c r="BF9" s="50"/>
      <c r="BG9" s="50"/>
      <c r="BH9" s="50"/>
      <c r="BI9" s="50"/>
      <c r="BJ9" s="50"/>
      <c r="BK9" s="50"/>
    </row>
    <row r="10" s="46" customFormat="true" ht="30" hidden="false" customHeight="true" outlineLevel="0" collapsed="false">
      <c r="A10" s="3"/>
      <c r="B10" s="54" t="s">
        <v>12</v>
      </c>
      <c r="C10" s="55" t="n">
        <v>1</v>
      </c>
      <c r="D10" s="56" t="n">
        <f aca="false">E9</f>
        <v>46218</v>
      </c>
      <c r="E10" s="56" t="n">
        <f aca="false">D10</f>
        <v>46218</v>
      </c>
      <c r="F10" s="42"/>
      <c r="G10" s="43" t="n">
        <f aca="false">IF(OR(ISBLANK(task_start),ISBLANK(task_end)),"",task_end-task_start+1)</f>
        <v>1</v>
      </c>
      <c r="H10" s="50"/>
      <c r="I10" s="50"/>
      <c r="J10" s="50"/>
      <c r="K10" s="50"/>
      <c r="L10" s="50"/>
      <c r="M10" s="50"/>
      <c r="N10" s="50"/>
      <c r="O10" s="50"/>
      <c r="P10" s="50"/>
      <c r="Q10" s="50"/>
      <c r="R10" s="50"/>
      <c r="S10" s="50"/>
      <c r="T10" s="57"/>
      <c r="U10" s="57"/>
      <c r="V10" s="50"/>
      <c r="W10" s="50"/>
      <c r="X10" s="50"/>
      <c r="Y10" s="50"/>
      <c r="Z10" s="50"/>
      <c r="AA10" s="50"/>
      <c r="AB10" s="50"/>
      <c r="AC10" s="50"/>
      <c r="AD10" s="50"/>
      <c r="AE10" s="50"/>
      <c r="AF10" s="50"/>
      <c r="AG10" s="50"/>
      <c r="AH10" s="50"/>
      <c r="AI10" s="50"/>
      <c r="AJ10" s="50"/>
      <c r="AK10" s="50"/>
      <c r="AL10" s="50"/>
      <c r="AM10" s="51"/>
      <c r="AN10" s="52"/>
      <c r="AO10" s="53"/>
      <c r="AP10" s="50"/>
      <c r="AQ10" s="50"/>
      <c r="AR10" s="50"/>
      <c r="AS10" s="50"/>
      <c r="AT10" s="50"/>
      <c r="AU10" s="50"/>
      <c r="AV10" s="50"/>
      <c r="AW10" s="50"/>
      <c r="AX10" s="50"/>
      <c r="AY10" s="50"/>
      <c r="AZ10" s="50"/>
      <c r="BA10" s="50"/>
      <c r="BB10" s="50"/>
      <c r="BC10" s="50"/>
      <c r="BD10" s="50"/>
      <c r="BE10" s="50"/>
      <c r="BF10" s="50"/>
      <c r="BG10" s="50"/>
      <c r="BH10" s="50"/>
      <c r="BI10" s="50"/>
      <c r="BJ10" s="50"/>
      <c r="BK10" s="50"/>
    </row>
    <row r="11" s="46" customFormat="true" ht="30" hidden="false" customHeight="true" outlineLevel="0" collapsed="false">
      <c r="A11" s="1"/>
      <c r="B11" s="54" t="s">
        <v>13</v>
      </c>
      <c r="C11" s="55" t="n">
        <v>1</v>
      </c>
      <c r="D11" s="56" t="n">
        <f aca="false">E10</f>
        <v>46218</v>
      </c>
      <c r="E11" s="56" t="n">
        <f aca="false">D11+1</f>
        <v>46219</v>
      </c>
      <c r="F11" s="42"/>
      <c r="G11" s="43" t="n">
        <f aca="false">IF(OR(ISBLANK(task_start),ISBLANK(task_end)),"",task_end-task_start+1)</f>
        <v>2</v>
      </c>
      <c r="H11" s="50"/>
      <c r="I11" s="50"/>
      <c r="J11" s="50"/>
      <c r="K11" s="50"/>
      <c r="L11" s="50"/>
      <c r="M11" s="50"/>
      <c r="N11" s="50"/>
      <c r="O11" s="50"/>
      <c r="P11" s="50"/>
      <c r="Q11" s="50"/>
      <c r="R11" s="50"/>
      <c r="S11" s="50"/>
      <c r="T11" s="50"/>
      <c r="U11" s="50"/>
      <c r="V11" s="50"/>
      <c r="W11" s="50"/>
      <c r="X11" s="50"/>
      <c r="Y11" s="50"/>
      <c r="Z11" s="50"/>
      <c r="AA11" s="50"/>
      <c r="AB11" s="50"/>
      <c r="AC11" s="50"/>
      <c r="AD11" s="50"/>
      <c r="AE11" s="50"/>
      <c r="AF11" s="50"/>
      <c r="AG11" s="50"/>
      <c r="AH11" s="50"/>
      <c r="AI11" s="50"/>
      <c r="AJ11" s="50"/>
      <c r="AK11" s="50"/>
      <c r="AL11" s="50"/>
      <c r="AM11" s="51"/>
      <c r="AN11" s="52"/>
      <c r="AO11" s="53"/>
      <c r="AP11" s="50"/>
      <c r="AQ11" s="50"/>
      <c r="AR11" s="50"/>
      <c r="AS11" s="50"/>
      <c r="AT11" s="50"/>
      <c r="AU11" s="50"/>
      <c r="AV11" s="50"/>
      <c r="AW11" s="50"/>
      <c r="AX11" s="50"/>
      <c r="AY11" s="50"/>
      <c r="AZ11" s="50"/>
      <c r="BA11" s="50"/>
      <c r="BB11" s="50"/>
      <c r="BC11" s="50"/>
      <c r="BD11" s="50"/>
      <c r="BE11" s="50"/>
      <c r="BF11" s="50"/>
      <c r="BG11" s="50"/>
      <c r="BH11" s="50"/>
      <c r="BI11" s="50"/>
      <c r="BJ11" s="50"/>
      <c r="BK11" s="50"/>
    </row>
    <row r="12" s="46" customFormat="true" ht="30" hidden="false" customHeight="true" outlineLevel="0" collapsed="false">
      <c r="A12" s="1"/>
      <c r="B12" s="54" t="s">
        <v>14</v>
      </c>
      <c r="C12" s="55" t="n">
        <v>1</v>
      </c>
      <c r="D12" s="56" t="n">
        <f aca="false">E11</f>
        <v>46219</v>
      </c>
      <c r="E12" s="56" t="n">
        <f aca="false">D12</f>
        <v>46219</v>
      </c>
      <c r="F12" s="42"/>
      <c r="G12" s="43" t="n">
        <f aca="false">IF(OR(ISBLANK(task_start),ISBLANK(task_end)),"",task_end-task_start+1)</f>
        <v>1</v>
      </c>
      <c r="H12" s="50"/>
      <c r="I12" s="50"/>
      <c r="J12" s="50"/>
      <c r="K12" s="50"/>
      <c r="L12" s="50"/>
      <c r="M12" s="50"/>
      <c r="N12" s="50"/>
      <c r="O12" s="50"/>
      <c r="P12" s="50"/>
      <c r="Q12" s="50"/>
      <c r="R12" s="50"/>
      <c r="S12" s="50"/>
      <c r="T12" s="50"/>
      <c r="U12" s="50"/>
      <c r="V12" s="50"/>
      <c r="W12" s="50"/>
      <c r="X12" s="57"/>
      <c r="Y12" s="50"/>
      <c r="Z12" s="50"/>
      <c r="AA12" s="50"/>
      <c r="AB12" s="50"/>
      <c r="AC12" s="50"/>
      <c r="AD12" s="50"/>
      <c r="AE12" s="50"/>
      <c r="AF12" s="50"/>
      <c r="AG12" s="50"/>
      <c r="AH12" s="50"/>
      <c r="AI12" s="50"/>
      <c r="AJ12" s="50"/>
      <c r="AK12" s="50"/>
      <c r="AL12" s="50"/>
      <c r="AM12" s="51"/>
      <c r="AN12" s="52"/>
      <c r="AO12" s="53"/>
      <c r="AP12" s="50"/>
      <c r="AQ12" s="50"/>
      <c r="AR12" s="50"/>
      <c r="AS12" s="50"/>
      <c r="AT12" s="50"/>
      <c r="AU12" s="50"/>
      <c r="AV12" s="50"/>
      <c r="AW12" s="50"/>
      <c r="AX12" s="50"/>
      <c r="AY12" s="50"/>
      <c r="AZ12" s="50"/>
      <c r="BA12" s="50"/>
      <c r="BB12" s="50"/>
      <c r="BC12" s="50"/>
      <c r="BD12" s="50"/>
      <c r="BE12" s="50"/>
      <c r="BF12" s="50"/>
      <c r="BG12" s="50"/>
      <c r="BH12" s="50"/>
      <c r="BI12" s="50"/>
      <c r="BJ12" s="50"/>
      <c r="BK12" s="50"/>
    </row>
    <row r="13" s="46" customFormat="true" ht="30" hidden="false" customHeight="true" outlineLevel="0" collapsed="false">
      <c r="A13" s="1"/>
      <c r="B13" s="54" t="s">
        <v>15</v>
      </c>
      <c r="C13" s="55" t="n">
        <v>1</v>
      </c>
      <c r="D13" s="56" t="n">
        <f aca="false">E12</f>
        <v>46219</v>
      </c>
      <c r="E13" s="56" t="n">
        <f aca="false">D13</f>
        <v>46219</v>
      </c>
      <c r="F13" s="42"/>
      <c r="G13" s="43" t="n">
        <f aca="false">IF(OR(ISBLANK(task_start),ISBLANK(task_end)),"",task_end-task_start+1)</f>
        <v>1</v>
      </c>
      <c r="H13" s="50"/>
      <c r="I13" s="50"/>
      <c r="J13" s="50"/>
      <c r="K13" s="50"/>
      <c r="L13" s="50"/>
      <c r="M13" s="50"/>
      <c r="N13" s="50"/>
      <c r="O13" s="50"/>
      <c r="P13" s="50"/>
      <c r="Q13" s="50"/>
      <c r="R13" s="50"/>
      <c r="S13" s="50"/>
      <c r="T13" s="50"/>
      <c r="U13" s="50"/>
      <c r="V13" s="50"/>
      <c r="W13" s="50"/>
      <c r="X13" s="50"/>
      <c r="Y13" s="50"/>
      <c r="Z13" s="50"/>
      <c r="AA13" s="50"/>
      <c r="AB13" s="50"/>
      <c r="AC13" s="50"/>
      <c r="AD13" s="50"/>
      <c r="AE13" s="50"/>
      <c r="AF13" s="50"/>
      <c r="AG13" s="50"/>
      <c r="AH13" s="50"/>
      <c r="AI13" s="50"/>
      <c r="AJ13" s="50"/>
      <c r="AK13" s="50"/>
      <c r="AL13" s="50"/>
      <c r="AM13" s="51"/>
      <c r="AN13" s="52"/>
      <c r="AO13" s="53"/>
      <c r="AP13" s="50"/>
      <c r="AQ13" s="50"/>
      <c r="AR13" s="50"/>
      <c r="AS13" s="50"/>
      <c r="AT13" s="50"/>
      <c r="AU13" s="50"/>
      <c r="AV13" s="50"/>
      <c r="AW13" s="50"/>
      <c r="AX13" s="50"/>
      <c r="AY13" s="50"/>
      <c r="AZ13" s="50"/>
      <c r="BA13" s="50"/>
      <c r="BB13" s="50"/>
      <c r="BC13" s="50"/>
      <c r="BD13" s="50"/>
      <c r="BE13" s="50"/>
      <c r="BF13" s="50"/>
      <c r="BG13" s="50"/>
      <c r="BH13" s="50"/>
      <c r="BI13" s="50"/>
      <c r="BJ13" s="50"/>
      <c r="BK13" s="50"/>
    </row>
    <row r="14" s="46" customFormat="true" ht="30" hidden="false" customHeight="true" outlineLevel="0" collapsed="false">
      <c r="A14" s="1"/>
      <c r="B14" s="54" t="s">
        <v>16</v>
      </c>
      <c r="C14" s="55" t="n">
        <v>1</v>
      </c>
      <c r="D14" s="56" t="n">
        <f aca="false">E13</f>
        <v>46219</v>
      </c>
      <c r="E14" s="56" t="n">
        <f aca="false">D14+1</f>
        <v>46220</v>
      </c>
      <c r="F14" s="42"/>
      <c r="G14" s="43" t="n">
        <f aca="false">IF(OR(ISBLANK(task_start),ISBLANK(task_end)),"",task_end-task_start+1)</f>
        <v>2</v>
      </c>
      <c r="H14" s="50"/>
      <c r="I14" s="50"/>
      <c r="J14" s="50"/>
      <c r="K14" s="50"/>
      <c r="L14" s="50"/>
      <c r="M14" s="50"/>
      <c r="N14" s="50"/>
      <c r="O14" s="50"/>
      <c r="P14" s="50"/>
      <c r="Q14" s="50"/>
      <c r="R14" s="50"/>
      <c r="S14" s="50"/>
      <c r="T14" s="50"/>
      <c r="U14" s="50"/>
      <c r="V14" s="50"/>
      <c r="W14" s="50"/>
      <c r="X14" s="50"/>
      <c r="Y14" s="50"/>
      <c r="Z14" s="50"/>
      <c r="AA14" s="50"/>
      <c r="AB14" s="50"/>
      <c r="AC14" s="50"/>
      <c r="AD14" s="50"/>
      <c r="AE14" s="50"/>
      <c r="AF14" s="50"/>
      <c r="AG14" s="50"/>
      <c r="AH14" s="50"/>
      <c r="AI14" s="50"/>
      <c r="AJ14" s="50"/>
      <c r="AK14" s="50"/>
      <c r="AL14" s="50"/>
      <c r="AM14" s="51"/>
      <c r="AN14" s="52"/>
      <c r="AO14" s="53"/>
      <c r="AP14" s="50"/>
      <c r="AQ14" s="50"/>
      <c r="AR14" s="50"/>
      <c r="AS14" s="50"/>
      <c r="AT14" s="50"/>
      <c r="AU14" s="50"/>
      <c r="AV14" s="50"/>
      <c r="AW14" s="50"/>
      <c r="AX14" s="50"/>
      <c r="AY14" s="50"/>
      <c r="AZ14" s="50"/>
      <c r="BA14" s="50"/>
      <c r="BB14" s="50"/>
      <c r="BC14" s="50"/>
      <c r="BD14" s="50"/>
      <c r="BE14" s="50"/>
      <c r="BF14" s="50"/>
      <c r="BG14" s="50"/>
      <c r="BH14" s="50"/>
      <c r="BI14" s="50"/>
      <c r="BJ14" s="50"/>
      <c r="BK14" s="50"/>
    </row>
    <row r="15" s="46" customFormat="true" ht="30" hidden="false" customHeight="true" outlineLevel="0" collapsed="false">
      <c r="A15" s="3"/>
      <c r="B15" s="58" t="s">
        <v>17</v>
      </c>
      <c r="C15" s="59"/>
      <c r="D15" s="60"/>
      <c r="E15" s="61"/>
      <c r="F15" s="42"/>
      <c r="G15" s="43" t="str">
        <f aca="false">IF(OR(ISBLANK(task_start),ISBLANK(task_end)),"",task_end-task_start+1)</f>
        <v/>
      </c>
      <c r="AN15" s="36"/>
    </row>
    <row r="16" s="46" customFormat="true" ht="30" hidden="false" customHeight="true" outlineLevel="0" collapsed="false">
      <c r="A16" s="3"/>
      <c r="B16" s="62" t="s">
        <v>18</v>
      </c>
      <c r="C16" s="63" t="n">
        <v>1</v>
      </c>
      <c r="D16" s="64" t="n">
        <f aca="false">E14</f>
        <v>46220</v>
      </c>
      <c r="E16" s="64" t="n">
        <f aca="false">D16</f>
        <v>46220</v>
      </c>
      <c r="F16" s="42"/>
      <c r="G16" s="43" t="n">
        <f aca="false">IF(OR(ISBLANK(task_start),ISBLANK(task_end)),"",task_end-task_start+1)</f>
        <v>1</v>
      </c>
      <c r="H16" s="50"/>
      <c r="I16" s="50"/>
      <c r="J16" s="50"/>
      <c r="K16" s="50"/>
      <c r="L16" s="50"/>
      <c r="M16" s="50"/>
      <c r="N16" s="50"/>
      <c r="O16" s="50"/>
      <c r="P16" s="50"/>
      <c r="Q16" s="50"/>
      <c r="R16" s="50"/>
      <c r="S16" s="50"/>
      <c r="T16" s="50"/>
      <c r="U16" s="50"/>
      <c r="V16" s="50"/>
      <c r="W16" s="50"/>
      <c r="X16" s="50"/>
      <c r="Y16" s="50"/>
      <c r="Z16" s="50"/>
      <c r="AA16" s="50"/>
      <c r="AB16" s="50"/>
      <c r="AC16" s="50"/>
      <c r="AD16" s="50"/>
      <c r="AE16" s="50"/>
      <c r="AF16" s="50"/>
      <c r="AG16" s="50"/>
      <c r="AH16" s="50"/>
      <c r="AI16" s="50"/>
      <c r="AJ16" s="50"/>
      <c r="AK16" s="50"/>
      <c r="AL16" s="50"/>
      <c r="AM16" s="51"/>
      <c r="AN16" s="52"/>
      <c r="AO16" s="53"/>
      <c r="AP16" s="50"/>
      <c r="AQ16" s="50"/>
      <c r="AR16" s="50"/>
      <c r="AS16" s="50"/>
      <c r="AT16" s="50"/>
      <c r="AU16" s="50"/>
      <c r="AV16" s="50"/>
      <c r="AW16" s="50"/>
      <c r="AX16" s="50"/>
      <c r="AY16" s="50"/>
      <c r="AZ16" s="50"/>
      <c r="BA16" s="50"/>
      <c r="BB16" s="50"/>
      <c r="BC16" s="50"/>
      <c r="BD16" s="50"/>
      <c r="BE16" s="50"/>
      <c r="BF16" s="50"/>
      <c r="BG16" s="50"/>
      <c r="BH16" s="50"/>
      <c r="BI16" s="50"/>
      <c r="BJ16" s="50"/>
      <c r="BK16" s="50"/>
    </row>
    <row r="17" s="46" customFormat="true" ht="30" hidden="false" customHeight="true" outlineLevel="0" collapsed="false">
      <c r="A17" s="1"/>
      <c r="B17" s="62" t="s">
        <v>19</v>
      </c>
      <c r="C17" s="63" t="n">
        <v>1</v>
      </c>
      <c r="D17" s="64" t="n">
        <f aca="false">D16</f>
        <v>46220</v>
      </c>
      <c r="E17" s="64" t="n">
        <f aca="false">D17+1</f>
        <v>46221</v>
      </c>
      <c r="F17" s="42"/>
      <c r="G17" s="43" t="n">
        <f aca="false">IF(OR(ISBLANK(task_start),ISBLANK(task_end)),"",task_end-task_start+1)</f>
        <v>2</v>
      </c>
      <c r="H17" s="50"/>
      <c r="I17" s="50"/>
      <c r="J17" s="50"/>
      <c r="K17" s="50"/>
      <c r="L17" s="50"/>
      <c r="M17" s="50"/>
      <c r="N17" s="50"/>
      <c r="O17" s="50"/>
      <c r="P17" s="50"/>
      <c r="Q17" s="50"/>
      <c r="R17" s="50"/>
      <c r="S17" s="50"/>
      <c r="T17" s="57"/>
      <c r="U17" s="57"/>
      <c r="V17" s="50"/>
      <c r="W17" s="50"/>
      <c r="X17" s="50"/>
      <c r="Y17" s="50"/>
      <c r="Z17" s="50"/>
      <c r="AA17" s="50"/>
      <c r="AB17" s="50"/>
      <c r="AC17" s="50"/>
      <c r="AD17" s="50"/>
      <c r="AE17" s="50"/>
      <c r="AF17" s="50"/>
      <c r="AG17" s="50"/>
      <c r="AH17" s="50"/>
      <c r="AI17" s="50"/>
      <c r="AJ17" s="50"/>
      <c r="AK17" s="50"/>
      <c r="AL17" s="50"/>
      <c r="AM17" s="51"/>
      <c r="AN17" s="52"/>
      <c r="AO17" s="53"/>
      <c r="AP17" s="50"/>
      <c r="AQ17" s="50"/>
      <c r="AR17" s="50"/>
      <c r="AS17" s="50"/>
      <c r="AT17" s="50"/>
      <c r="AU17" s="50"/>
      <c r="AV17" s="50"/>
      <c r="AW17" s="50"/>
      <c r="AX17" s="50"/>
      <c r="AY17" s="50"/>
      <c r="AZ17" s="50"/>
      <c r="BA17" s="50"/>
      <c r="BB17" s="50"/>
      <c r="BC17" s="50"/>
      <c r="BD17" s="50"/>
      <c r="BE17" s="50"/>
      <c r="BF17" s="50"/>
      <c r="BG17" s="50"/>
      <c r="BH17" s="50"/>
      <c r="BI17" s="50"/>
      <c r="BJ17" s="50"/>
      <c r="BK17" s="50"/>
    </row>
    <row r="18" s="46" customFormat="true" ht="30" hidden="false" customHeight="true" outlineLevel="0" collapsed="false">
      <c r="A18" s="1"/>
      <c r="B18" s="62" t="s">
        <v>20</v>
      </c>
      <c r="C18" s="63" t="n">
        <v>1</v>
      </c>
      <c r="D18" s="64" t="n">
        <f aca="false">E17</f>
        <v>46221</v>
      </c>
      <c r="E18" s="64" t="n">
        <f aca="false">D18+1</f>
        <v>46222</v>
      </c>
      <c r="F18" s="42"/>
      <c r="G18" s="43" t="n">
        <f aca="false">IF(OR(ISBLANK(task_start),ISBLANK(task_end)),"",task_end-task_start+1)</f>
        <v>2</v>
      </c>
      <c r="H18" s="50"/>
      <c r="I18" s="50"/>
      <c r="J18" s="50"/>
      <c r="K18" s="50"/>
      <c r="L18" s="50"/>
      <c r="M18" s="50"/>
      <c r="N18" s="50"/>
      <c r="O18" s="50"/>
      <c r="P18" s="50"/>
      <c r="Q18" s="50"/>
      <c r="R18" s="50"/>
      <c r="S18" s="50"/>
      <c r="T18" s="50"/>
      <c r="U18" s="50"/>
      <c r="V18" s="50"/>
      <c r="W18" s="50"/>
      <c r="X18" s="50"/>
      <c r="Y18" s="50"/>
      <c r="Z18" s="50"/>
      <c r="AA18" s="50"/>
      <c r="AB18" s="50"/>
      <c r="AC18" s="50"/>
      <c r="AD18" s="50"/>
      <c r="AE18" s="50"/>
      <c r="AF18" s="50"/>
      <c r="AG18" s="50"/>
      <c r="AH18" s="50"/>
      <c r="AI18" s="50"/>
      <c r="AJ18" s="50"/>
      <c r="AK18" s="50"/>
      <c r="AL18" s="50"/>
      <c r="AM18" s="51"/>
      <c r="AN18" s="52"/>
      <c r="AO18" s="53"/>
      <c r="AP18" s="50"/>
      <c r="AQ18" s="50"/>
      <c r="AR18" s="50"/>
      <c r="AS18" s="50"/>
      <c r="AT18" s="50"/>
      <c r="AU18" s="50"/>
      <c r="AV18" s="50"/>
      <c r="AW18" s="50"/>
      <c r="AX18" s="50"/>
      <c r="AY18" s="50"/>
      <c r="AZ18" s="50"/>
      <c r="BA18" s="50"/>
      <c r="BB18" s="50"/>
      <c r="BC18" s="50"/>
      <c r="BD18" s="50"/>
      <c r="BE18" s="50"/>
      <c r="BF18" s="50"/>
      <c r="BG18" s="50"/>
      <c r="BH18" s="50"/>
      <c r="BI18" s="50"/>
      <c r="BJ18" s="50"/>
      <c r="BK18" s="50"/>
    </row>
    <row r="19" s="46" customFormat="true" ht="30" hidden="false" customHeight="true" outlineLevel="0" collapsed="false">
      <c r="A19" s="1"/>
      <c r="B19" s="62" t="s">
        <v>21</v>
      </c>
      <c r="C19" s="63" t="n">
        <v>1</v>
      </c>
      <c r="D19" s="64" t="n">
        <f aca="false">E18</f>
        <v>46222</v>
      </c>
      <c r="E19" s="64" t="n">
        <f aca="false">D19+1</f>
        <v>46223</v>
      </c>
      <c r="F19" s="42"/>
      <c r="G19" s="43" t="n">
        <f aca="false">IF(OR(ISBLANK(task_start),ISBLANK(task_end)),"",task_end-task_start+1)</f>
        <v>2</v>
      </c>
      <c r="H19" s="50"/>
      <c r="I19" s="50"/>
      <c r="J19" s="50"/>
      <c r="K19" s="50"/>
      <c r="L19" s="50"/>
      <c r="M19" s="50"/>
      <c r="N19" s="50"/>
      <c r="O19" s="50"/>
      <c r="P19" s="50"/>
      <c r="Q19" s="50"/>
      <c r="R19" s="50"/>
      <c r="S19" s="50"/>
      <c r="T19" s="50"/>
      <c r="U19" s="50"/>
      <c r="V19" s="50"/>
      <c r="W19" s="50"/>
      <c r="X19" s="57"/>
      <c r="Y19" s="50"/>
      <c r="Z19" s="50"/>
      <c r="AA19" s="50"/>
      <c r="AB19" s="50"/>
      <c r="AC19" s="50"/>
      <c r="AD19" s="50"/>
      <c r="AE19" s="50"/>
      <c r="AF19" s="50"/>
      <c r="AG19" s="50"/>
      <c r="AH19" s="50"/>
      <c r="AI19" s="50"/>
      <c r="AJ19" s="50"/>
      <c r="AK19" s="50"/>
      <c r="AL19" s="50"/>
      <c r="AM19" s="51"/>
      <c r="AN19" s="52"/>
      <c r="AO19" s="53"/>
      <c r="AP19" s="50"/>
      <c r="AQ19" s="50"/>
      <c r="AR19" s="50"/>
      <c r="AS19" s="50"/>
      <c r="AT19" s="50"/>
      <c r="AU19" s="50"/>
      <c r="AV19" s="50"/>
      <c r="AW19" s="50"/>
      <c r="AX19" s="50"/>
      <c r="AY19" s="50"/>
      <c r="AZ19" s="50"/>
      <c r="BA19" s="50"/>
      <c r="BB19" s="50"/>
      <c r="BC19" s="50"/>
      <c r="BD19" s="50"/>
      <c r="BE19" s="50"/>
      <c r="BF19" s="50"/>
      <c r="BG19" s="50"/>
      <c r="BH19" s="50"/>
      <c r="BI19" s="50"/>
      <c r="BJ19" s="50"/>
      <c r="BK19" s="50"/>
    </row>
    <row r="20" s="46" customFormat="true" ht="30" hidden="false" customHeight="true" outlineLevel="0" collapsed="false">
      <c r="A20" s="1"/>
      <c r="B20" s="62" t="s">
        <v>22</v>
      </c>
      <c r="C20" s="63" t="n">
        <v>1</v>
      </c>
      <c r="D20" s="64" t="n">
        <f aca="false">E19</f>
        <v>46223</v>
      </c>
      <c r="E20" s="64" t="n">
        <f aca="false">D20+2</f>
        <v>46225</v>
      </c>
      <c r="F20" s="42"/>
      <c r="G20" s="43" t="n">
        <f aca="false">IF(OR(ISBLANK(task_start),ISBLANK(task_end)),"",task_end-task_start+1)</f>
        <v>3</v>
      </c>
      <c r="H20" s="50"/>
      <c r="I20" s="50"/>
      <c r="J20" s="50"/>
      <c r="K20" s="50"/>
      <c r="L20" s="50"/>
      <c r="M20" s="50"/>
      <c r="N20" s="50"/>
      <c r="O20" s="50"/>
      <c r="P20" s="50"/>
      <c r="Q20" s="50"/>
      <c r="R20" s="50"/>
      <c r="S20" s="50"/>
      <c r="T20" s="50"/>
      <c r="U20" s="50"/>
      <c r="V20" s="50"/>
      <c r="W20" s="50"/>
      <c r="X20" s="50"/>
      <c r="Y20" s="50"/>
      <c r="Z20" s="50"/>
      <c r="AA20" s="50"/>
      <c r="AB20" s="50"/>
      <c r="AC20" s="50"/>
      <c r="AD20" s="50"/>
      <c r="AE20" s="50"/>
      <c r="AF20" s="50"/>
      <c r="AG20" s="50"/>
      <c r="AH20" s="50"/>
      <c r="AI20" s="50"/>
      <c r="AJ20" s="50"/>
      <c r="AK20" s="50"/>
      <c r="AL20" s="50"/>
      <c r="AM20" s="51"/>
      <c r="AN20" s="52"/>
      <c r="AO20" s="53"/>
      <c r="AP20" s="50"/>
      <c r="AQ20" s="50"/>
      <c r="AR20" s="50"/>
      <c r="AS20" s="50"/>
      <c r="AT20" s="50"/>
      <c r="AU20" s="50"/>
      <c r="AV20" s="50"/>
      <c r="AW20" s="50"/>
      <c r="AX20" s="50"/>
      <c r="AY20" s="50"/>
      <c r="AZ20" s="50"/>
      <c r="BA20" s="50"/>
      <c r="BB20" s="50"/>
      <c r="BC20" s="50"/>
      <c r="BD20" s="50"/>
      <c r="BE20" s="50"/>
      <c r="BF20" s="50"/>
      <c r="BG20" s="50"/>
      <c r="BH20" s="50"/>
      <c r="BI20" s="50"/>
      <c r="BJ20" s="50"/>
      <c r="BK20" s="50"/>
    </row>
    <row r="21" s="46" customFormat="true" ht="30" hidden="false" customHeight="true" outlineLevel="0" collapsed="false">
      <c r="A21" s="1"/>
      <c r="B21" s="65" t="s">
        <v>23</v>
      </c>
      <c r="C21" s="66"/>
      <c r="D21" s="67"/>
      <c r="E21" s="68"/>
      <c r="F21" s="42"/>
      <c r="G21" s="43" t="str">
        <f aca="false">IF(OR(ISBLANK(task_start),ISBLANK(task_end)),"",task_end-task_start+1)</f>
        <v/>
      </c>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69"/>
      <c r="AL21" s="69"/>
      <c r="AM21" s="69"/>
      <c r="AN21" s="70"/>
      <c r="AO21" s="69"/>
      <c r="AP21" s="69"/>
      <c r="AQ21" s="69"/>
      <c r="AR21" s="69"/>
      <c r="AS21" s="69"/>
      <c r="AT21" s="69"/>
      <c r="AU21" s="69"/>
      <c r="AV21" s="69"/>
      <c r="AW21" s="69"/>
      <c r="AX21" s="69"/>
      <c r="AY21" s="69"/>
      <c r="AZ21" s="69"/>
      <c r="BA21" s="69"/>
      <c r="BB21" s="69"/>
      <c r="BC21" s="69"/>
      <c r="BD21" s="69"/>
      <c r="BE21" s="69"/>
      <c r="BF21" s="69"/>
      <c r="BG21" s="69"/>
      <c r="BH21" s="69"/>
      <c r="BI21" s="69"/>
      <c r="BJ21" s="69"/>
      <c r="BK21" s="69"/>
    </row>
    <row r="22" s="46" customFormat="true" ht="30" hidden="false" customHeight="true" outlineLevel="0" collapsed="false">
      <c r="A22" s="1"/>
      <c r="B22" s="71" t="s">
        <v>24</v>
      </c>
      <c r="C22" s="72" t="n">
        <v>1</v>
      </c>
      <c r="D22" s="73" t="n">
        <v>46226</v>
      </c>
      <c r="E22" s="73" t="n">
        <f aca="false">D22+2</f>
        <v>46228</v>
      </c>
      <c r="F22" s="42"/>
      <c r="G22" s="43" t="n">
        <f aca="false">IF(OR(ISBLANK(task_start),ISBLANK(task_end)),"",task_end-task_start+1)</f>
        <v>3</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1"/>
      <c r="AN22" s="52"/>
      <c r="AO22" s="53"/>
      <c r="AP22" s="50"/>
      <c r="AQ22" s="50"/>
      <c r="AR22" s="50"/>
      <c r="AS22" s="50"/>
      <c r="AT22" s="50"/>
      <c r="AU22" s="50"/>
      <c r="AV22" s="50"/>
      <c r="AW22" s="50"/>
      <c r="AX22" s="50"/>
      <c r="AY22" s="50"/>
      <c r="AZ22" s="50"/>
      <c r="BA22" s="50"/>
      <c r="BB22" s="50"/>
      <c r="BC22" s="50"/>
      <c r="BD22" s="50"/>
      <c r="BE22" s="50"/>
      <c r="BF22" s="50"/>
      <c r="BG22" s="50"/>
      <c r="BH22" s="50"/>
      <c r="BI22" s="50"/>
      <c r="BJ22" s="50"/>
      <c r="BK22" s="50"/>
    </row>
    <row r="23" s="46" customFormat="true" ht="30" hidden="false" customHeight="true" outlineLevel="0" collapsed="false">
      <c r="A23" s="1"/>
      <c r="B23" s="71" t="s">
        <v>25</v>
      </c>
      <c r="C23" s="72" t="n">
        <v>1</v>
      </c>
      <c r="D23" s="73" t="n">
        <f aca="false">E22+1</f>
        <v>46229</v>
      </c>
      <c r="E23" s="73" t="n">
        <f aca="false">D23+7</f>
        <v>46236</v>
      </c>
      <c r="F23" s="42"/>
      <c r="G23" s="43" t="n">
        <f aca="false">IF(OR(ISBLANK(task_start),ISBLANK(task_end)),"",task_end-task_start+1)</f>
        <v>8</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1"/>
      <c r="AN23" s="52"/>
      <c r="AO23" s="53"/>
      <c r="AP23" s="50"/>
      <c r="AQ23" s="50"/>
      <c r="AR23" s="50"/>
      <c r="AS23" s="50"/>
      <c r="AT23" s="50"/>
      <c r="AU23" s="50"/>
      <c r="AV23" s="50"/>
      <c r="AW23" s="50"/>
      <c r="AX23" s="50"/>
      <c r="AY23" s="50"/>
      <c r="AZ23" s="50"/>
      <c r="BA23" s="50"/>
      <c r="BB23" s="50"/>
      <c r="BC23" s="50"/>
      <c r="BD23" s="50"/>
      <c r="BE23" s="50"/>
      <c r="BF23" s="50"/>
      <c r="BG23" s="50"/>
      <c r="BH23" s="50"/>
      <c r="BI23" s="50"/>
      <c r="BJ23" s="50"/>
      <c r="BK23" s="50"/>
    </row>
    <row r="24" s="46" customFormat="true" ht="30" hidden="false" customHeight="true" outlineLevel="0" collapsed="false">
      <c r="A24" s="1"/>
      <c r="B24" s="71" t="s">
        <v>26</v>
      </c>
      <c r="C24" s="72" t="n">
        <v>1</v>
      </c>
      <c r="D24" s="73" t="n">
        <f aca="false">E23+1</f>
        <v>46237</v>
      </c>
      <c r="E24" s="73" t="n">
        <f aca="false">D24+7</f>
        <v>46244</v>
      </c>
      <c r="F24" s="42"/>
      <c r="G24" s="43" t="n">
        <f aca="false">IF(OR(ISBLANK(task_start),ISBLANK(task_end)),"",task_end-task_start+1)</f>
        <v>8</v>
      </c>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1"/>
      <c r="AN24" s="52"/>
      <c r="AO24" s="53"/>
      <c r="AP24" s="50"/>
      <c r="AQ24" s="50"/>
      <c r="AR24" s="50"/>
      <c r="AS24" s="50"/>
      <c r="AT24" s="50"/>
      <c r="AU24" s="50"/>
      <c r="AV24" s="50"/>
      <c r="AW24" s="50"/>
      <c r="AX24" s="50"/>
      <c r="AY24" s="50"/>
      <c r="AZ24" s="50"/>
      <c r="BA24" s="50"/>
      <c r="BB24" s="50"/>
      <c r="BC24" s="50"/>
      <c r="BD24" s="50"/>
      <c r="BE24" s="50"/>
      <c r="BF24" s="50"/>
      <c r="BG24" s="50"/>
      <c r="BH24" s="50"/>
      <c r="BI24" s="50"/>
      <c r="BJ24" s="50"/>
      <c r="BK24" s="50"/>
    </row>
    <row r="25" s="46" customFormat="true" ht="30" hidden="false" customHeight="true" outlineLevel="0" collapsed="false">
      <c r="A25" s="1"/>
      <c r="B25" s="74" t="s">
        <v>27</v>
      </c>
      <c r="C25" s="75"/>
      <c r="D25" s="76"/>
      <c r="E25" s="77"/>
      <c r="F25" s="42"/>
      <c r="G25" s="43" t="str">
        <f aca="false">IF(OR(ISBLANK(task_start),ISBLANK(task_end)),"",task_end-task_start+1)</f>
        <v/>
      </c>
      <c r="H25" s="78"/>
      <c r="I25" s="78"/>
      <c r="J25" s="78"/>
      <c r="K25" s="78"/>
      <c r="L25" s="78"/>
      <c r="M25" s="78"/>
      <c r="N25" s="78"/>
      <c r="O25" s="78"/>
      <c r="P25" s="78"/>
      <c r="Q25" s="78"/>
      <c r="R25" s="78"/>
      <c r="S25" s="78"/>
      <c r="T25" s="78"/>
      <c r="U25" s="78"/>
      <c r="V25" s="78"/>
      <c r="W25" s="78"/>
      <c r="X25" s="78"/>
      <c r="Y25" s="78"/>
      <c r="Z25" s="78"/>
      <c r="AA25" s="78"/>
      <c r="AB25" s="78"/>
      <c r="AC25" s="78"/>
      <c r="AD25" s="78"/>
      <c r="AE25" s="78"/>
      <c r="AF25" s="78"/>
      <c r="AG25" s="78"/>
      <c r="AH25" s="78"/>
      <c r="AI25" s="78"/>
      <c r="AJ25" s="78"/>
      <c r="AK25" s="78"/>
      <c r="AL25" s="78"/>
      <c r="AM25" s="78"/>
      <c r="AN25" s="52"/>
      <c r="AO25" s="78"/>
      <c r="AP25" s="78"/>
      <c r="AQ25" s="78"/>
      <c r="AR25" s="78"/>
      <c r="AS25" s="78"/>
      <c r="AT25" s="78"/>
      <c r="AU25" s="78"/>
      <c r="AV25" s="78"/>
      <c r="AW25" s="78"/>
      <c r="AX25" s="78"/>
      <c r="AY25" s="78"/>
      <c r="AZ25" s="78"/>
      <c r="BA25" s="78"/>
      <c r="BB25" s="78"/>
      <c r="BC25" s="78"/>
      <c r="BD25" s="78"/>
      <c r="BE25" s="78"/>
      <c r="BF25" s="78"/>
      <c r="BG25" s="78"/>
      <c r="BH25" s="78"/>
      <c r="BI25" s="78"/>
      <c r="BJ25" s="78"/>
      <c r="BK25" s="78"/>
    </row>
    <row r="26" s="46" customFormat="true" ht="30" hidden="false" customHeight="true" outlineLevel="0" collapsed="false">
      <c r="A26" s="1"/>
      <c r="B26" s="79" t="s">
        <v>28</v>
      </c>
      <c r="C26" s="80" t="n">
        <v>1</v>
      </c>
      <c r="D26" s="81" t="n">
        <f aca="false">E24+1</f>
        <v>46245</v>
      </c>
      <c r="E26" s="81" t="n">
        <f aca="false">D26</f>
        <v>46245</v>
      </c>
      <c r="F26" s="42"/>
      <c r="G26" s="43" t="n">
        <f aca="false">IF(OR(ISBLANK(task_start),ISBLANK(task_end)),"",task_end-task_start+1)</f>
        <v>1</v>
      </c>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1"/>
      <c r="AN26" s="52"/>
      <c r="AO26" s="53"/>
      <c r="AP26" s="50"/>
      <c r="AQ26" s="50"/>
      <c r="AR26" s="50"/>
      <c r="AS26" s="50"/>
      <c r="AT26" s="50"/>
      <c r="AU26" s="50"/>
      <c r="AV26" s="50"/>
      <c r="AW26" s="50"/>
      <c r="AX26" s="50"/>
      <c r="AY26" s="50"/>
      <c r="AZ26" s="50"/>
      <c r="BA26" s="50"/>
      <c r="BB26" s="50"/>
      <c r="BC26" s="50"/>
      <c r="BD26" s="50"/>
      <c r="BE26" s="50"/>
      <c r="BF26" s="50"/>
      <c r="BG26" s="50"/>
      <c r="BH26" s="50"/>
      <c r="BI26" s="50"/>
      <c r="BJ26" s="50"/>
      <c r="BK26" s="50"/>
    </row>
    <row r="27" s="46" customFormat="true" ht="30" hidden="false" customHeight="true" outlineLevel="0" collapsed="false">
      <c r="A27" s="1"/>
      <c r="B27" s="79" t="s">
        <v>29</v>
      </c>
      <c r="C27" s="80" t="n">
        <v>1</v>
      </c>
      <c r="D27" s="81" t="n">
        <f aca="false">E26+1</f>
        <v>46246</v>
      </c>
      <c r="E27" s="81" t="n">
        <f aca="false">D27</f>
        <v>46246</v>
      </c>
      <c r="F27" s="42"/>
      <c r="G27" s="43" t="n">
        <f aca="false">IF(OR(ISBLANK(task_start),ISBLANK(task_end)),"",task_end-task_start+1)</f>
        <v>1</v>
      </c>
      <c r="H27" s="50"/>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1"/>
      <c r="AN27" s="52"/>
      <c r="AO27" s="53"/>
      <c r="AP27" s="50"/>
      <c r="AQ27" s="50"/>
      <c r="AR27" s="50"/>
      <c r="AS27" s="50"/>
      <c r="AT27" s="50"/>
      <c r="AU27" s="50"/>
      <c r="AV27" s="50"/>
      <c r="AW27" s="50"/>
      <c r="AX27" s="50"/>
      <c r="AY27" s="50"/>
      <c r="AZ27" s="50"/>
      <c r="BA27" s="50"/>
      <c r="BB27" s="50"/>
      <c r="BC27" s="50"/>
      <c r="BD27" s="50"/>
      <c r="BE27" s="50"/>
      <c r="BF27" s="50"/>
      <c r="BG27" s="50"/>
      <c r="BH27" s="50"/>
      <c r="BI27" s="50"/>
      <c r="BJ27" s="50"/>
      <c r="BK27" s="50"/>
    </row>
    <row r="28" s="46" customFormat="true" ht="30" hidden="false" customHeight="true" outlineLevel="0" collapsed="false">
      <c r="A28" s="1"/>
      <c r="B28" s="79" t="s">
        <v>30</v>
      </c>
      <c r="C28" s="80" t="n">
        <v>1</v>
      </c>
      <c r="D28" s="81" t="n">
        <f aca="false">E27</f>
        <v>46246</v>
      </c>
      <c r="E28" s="81" t="n">
        <f aca="false">D28</f>
        <v>46246</v>
      </c>
      <c r="F28" s="42"/>
      <c r="G28" s="43" t="n">
        <f aca="false">IF(OR(ISBLANK(task_start),ISBLANK(task_end)),"",task_end-task_start+1)</f>
        <v>1</v>
      </c>
      <c r="H28" s="50"/>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1"/>
      <c r="AN28" s="52"/>
      <c r="AO28" s="53"/>
      <c r="AP28" s="50"/>
      <c r="AQ28" s="50"/>
      <c r="AR28" s="50"/>
      <c r="AS28" s="50"/>
      <c r="AT28" s="50"/>
      <c r="AU28" s="50"/>
      <c r="AV28" s="50"/>
      <c r="AW28" s="50"/>
      <c r="AX28" s="50"/>
      <c r="AY28" s="50"/>
      <c r="AZ28" s="50"/>
      <c r="BA28" s="50"/>
      <c r="BB28" s="50"/>
      <c r="BC28" s="50"/>
      <c r="BD28" s="50"/>
      <c r="BE28" s="50"/>
      <c r="BF28" s="50"/>
      <c r="BG28" s="50"/>
      <c r="BH28" s="50"/>
      <c r="BI28" s="50"/>
      <c r="BJ28" s="50"/>
      <c r="BK28" s="50"/>
    </row>
    <row r="29" s="46" customFormat="true" ht="30" hidden="false" customHeight="true" outlineLevel="0" collapsed="false">
      <c r="A29" s="1"/>
      <c r="B29" s="79" t="s">
        <v>31</v>
      </c>
      <c r="C29" s="80" t="n">
        <v>1</v>
      </c>
      <c r="D29" s="81" t="n">
        <f aca="false">E28</f>
        <v>46246</v>
      </c>
      <c r="E29" s="81" t="n">
        <f aca="false">D29</f>
        <v>46246</v>
      </c>
      <c r="F29" s="42"/>
      <c r="G29" s="43" t="n">
        <f aca="false">IF(OR(ISBLANK(task_start),ISBLANK(task_end)),"",task_end-task_start+1)</f>
        <v>1</v>
      </c>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1"/>
      <c r="AN29" s="52"/>
      <c r="AO29" s="53"/>
      <c r="AP29" s="50"/>
      <c r="AQ29" s="50"/>
      <c r="AR29" s="50"/>
      <c r="AS29" s="50"/>
      <c r="AT29" s="50"/>
      <c r="AU29" s="50"/>
      <c r="AV29" s="50"/>
      <c r="AW29" s="50"/>
      <c r="AX29" s="50"/>
      <c r="AY29" s="50"/>
      <c r="AZ29" s="50"/>
      <c r="BA29" s="50"/>
      <c r="BB29" s="50"/>
      <c r="BC29" s="50"/>
      <c r="BD29" s="50"/>
      <c r="BE29" s="50"/>
      <c r="BF29" s="50"/>
      <c r="BG29" s="50"/>
      <c r="BH29" s="50"/>
      <c r="BI29" s="50"/>
      <c r="BJ29" s="50"/>
      <c r="BK29" s="50"/>
    </row>
    <row r="30" s="46" customFormat="true" ht="30" hidden="false" customHeight="true" outlineLevel="0" collapsed="false">
      <c r="A30" s="1"/>
      <c r="B30" s="79" t="s">
        <v>32</v>
      </c>
      <c r="C30" s="80" t="n">
        <v>1</v>
      </c>
      <c r="D30" s="81" t="n">
        <f aca="false">E29</f>
        <v>46246</v>
      </c>
      <c r="E30" s="81" t="n">
        <f aca="false">D30</f>
        <v>46246</v>
      </c>
      <c r="F30" s="42"/>
      <c r="G30" s="43" t="n">
        <f aca="false">IF(OR(ISBLANK(task_start),ISBLANK(task_end)),"",task_end-task_start+1)</f>
        <v>1</v>
      </c>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1"/>
      <c r="AN30" s="82"/>
      <c r="AO30" s="53"/>
      <c r="AP30" s="50"/>
      <c r="AQ30" s="50"/>
      <c r="AR30" s="50"/>
      <c r="AS30" s="50"/>
      <c r="AT30" s="50"/>
      <c r="AU30" s="50"/>
      <c r="AV30" s="50"/>
      <c r="AW30" s="50"/>
      <c r="AX30" s="50"/>
      <c r="AY30" s="50"/>
      <c r="AZ30" s="50"/>
      <c r="BA30" s="50"/>
      <c r="BB30" s="50"/>
      <c r="BC30" s="50"/>
      <c r="BD30" s="50"/>
      <c r="BE30" s="50"/>
      <c r="BF30" s="83"/>
      <c r="BG30" s="50"/>
      <c r="BH30" s="50"/>
      <c r="BI30" s="50"/>
      <c r="BJ30" s="50"/>
      <c r="BK30" s="50"/>
    </row>
    <row r="31" s="46" customFormat="true" ht="30" hidden="false" customHeight="true" outlineLevel="0" collapsed="false">
      <c r="A31" s="1"/>
      <c r="B31" s="84"/>
      <c r="C31" s="85"/>
      <c r="D31" s="86"/>
      <c r="E31" s="86"/>
      <c r="F31" s="42"/>
      <c r="G31" s="43" t="str">
        <f aca="false">IF(OR(ISBLANK(task_start),ISBLANK(task_end)),"",task_end-task_start+1)</f>
        <v/>
      </c>
      <c r="H31" s="44"/>
      <c r="I31" s="44"/>
      <c r="J31" s="44"/>
      <c r="K31" s="44"/>
      <c r="L31" s="44"/>
      <c r="M31" s="44"/>
      <c r="N31" s="44"/>
      <c r="O31" s="44"/>
      <c r="P31" s="44"/>
      <c r="Q31" s="44"/>
      <c r="R31" s="44"/>
      <c r="S31" s="44"/>
      <c r="T31" s="44"/>
      <c r="U31" s="44"/>
      <c r="V31" s="44"/>
      <c r="W31" s="44"/>
      <c r="X31" s="44"/>
      <c r="Y31" s="44"/>
      <c r="Z31" s="44"/>
      <c r="AA31" s="44"/>
      <c r="AB31" s="44"/>
      <c r="AC31" s="44"/>
      <c r="AD31" s="44"/>
      <c r="AE31" s="44"/>
      <c r="AF31" s="44"/>
      <c r="AG31" s="44"/>
      <c r="AH31" s="44"/>
      <c r="AI31" s="44"/>
      <c r="AJ31" s="44"/>
      <c r="AK31" s="44"/>
      <c r="AL31" s="44"/>
      <c r="AM31" s="44"/>
      <c r="AN31" s="87"/>
      <c r="AO31" s="44"/>
      <c r="AP31" s="44"/>
      <c r="AQ31" s="44"/>
      <c r="AR31" s="44"/>
      <c r="AS31" s="44"/>
      <c r="AT31" s="44"/>
      <c r="AU31" s="44"/>
      <c r="AV31" s="44"/>
      <c r="AW31" s="44"/>
      <c r="AX31" s="44"/>
      <c r="AY31" s="44"/>
      <c r="AZ31" s="44"/>
      <c r="BA31" s="44"/>
      <c r="BB31" s="44"/>
      <c r="BC31" s="44"/>
      <c r="BD31" s="44"/>
      <c r="BE31" s="44"/>
      <c r="BF31" s="44"/>
      <c r="BG31" s="44"/>
      <c r="BH31" s="44"/>
      <c r="BI31" s="44"/>
      <c r="BJ31" s="44"/>
      <c r="BK31" s="44"/>
    </row>
    <row r="32" s="46" customFormat="true" ht="30" hidden="false" customHeight="true" outlineLevel="0" collapsed="false">
      <c r="A32" s="3"/>
      <c r="B32" s="88" t="s">
        <v>33</v>
      </c>
      <c r="C32" s="89"/>
      <c r="D32" s="90"/>
      <c r="E32" s="91"/>
      <c r="F32" s="42"/>
      <c r="G32" s="92" t="str">
        <f aca="false">IF(OR(ISBLANK(task_start),ISBLANK(task_end)),"",task_end-task_start+1)</f>
        <v/>
      </c>
      <c r="H32" s="93"/>
      <c r="I32" s="93"/>
      <c r="J32" s="93"/>
      <c r="K32" s="93"/>
      <c r="L32" s="93"/>
      <c r="M32" s="93"/>
      <c r="N32" s="93"/>
      <c r="O32" s="93"/>
      <c r="P32" s="93"/>
      <c r="Q32" s="93"/>
      <c r="R32" s="93"/>
      <c r="S32" s="93"/>
      <c r="T32" s="93"/>
      <c r="U32" s="93"/>
      <c r="V32" s="93"/>
      <c r="W32" s="93"/>
      <c r="X32" s="93"/>
      <c r="Y32" s="93"/>
      <c r="Z32" s="93"/>
      <c r="AA32" s="93"/>
      <c r="AB32" s="93"/>
      <c r="AC32" s="93"/>
      <c r="AD32" s="93"/>
      <c r="AE32" s="93"/>
      <c r="AF32" s="93"/>
      <c r="AG32" s="93"/>
      <c r="AH32" s="93"/>
      <c r="AI32" s="93"/>
      <c r="AJ32" s="93"/>
      <c r="AK32" s="93"/>
      <c r="AL32" s="93"/>
      <c r="AM32" s="93"/>
      <c r="AN32" s="93"/>
      <c r="AO32" s="93"/>
      <c r="AP32" s="93"/>
      <c r="AQ32" s="93"/>
      <c r="AR32" s="93"/>
      <c r="AS32" s="93"/>
      <c r="AT32" s="93"/>
      <c r="AU32" s="93"/>
      <c r="AV32" s="93"/>
      <c r="AW32" s="93"/>
      <c r="AX32" s="93"/>
      <c r="AY32" s="93"/>
      <c r="AZ32" s="93"/>
      <c r="BA32" s="93"/>
      <c r="BB32" s="93"/>
      <c r="BC32" s="93"/>
      <c r="BD32" s="93"/>
      <c r="BE32" s="93"/>
      <c r="BF32" s="93"/>
      <c r="BG32" s="93"/>
      <c r="BH32" s="93"/>
      <c r="BI32" s="93"/>
      <c r="BJ32" s="93"/>
      <c r="BK32" s="93"/>
    </row>
    <row r="33" customFormat="false" ht="30" hidden="false" customHeight="true" outlineLevel="0" collapsed="false">
      <c r="F33" s="94"/>
    </row>
    <row r="34" customFormat="false" ht="30" hidden="false" customHeight="true" outlineLevel="0" collapsed="false">
      <c r="E34" s="95"/>
    </row>
  </sheetData>
  <mergeCells count="20">
    <mergeCell ref="B1:D1"/>
    <mergeCell ref="H1:N1"/>
    <mergeCell ref="P1:Y1"/>
    <mergeCell ref="Z1:AE1"/>
    <mergeCell ref="AG1:AN1"/>
    <mergeCell ref="H2:N2"/>
    <mergeCell ref="P2:Y2"/>
    <mergeCell ref="H4:N4"/>
    <mergeCell ref="O4:U4"/>
    <mergeCell ref="V4:AB4"/>
    <mergeCell ref="AC4:AI4"/>
    <mergeCell ref="AJ4:AP4"/>
    <mergeCell ref="AQ4:AW4"/>
    <mergeCell ref="AX4:BD4"/>
    <mergeCell ref="BE4:BK4"/>
    <mergeCell ref="A5:A6"/>
    <mergeCell ref="B5:B6"/>
    <mergeCell ref="C5:C6"/>
    <mergeCell ref="D5:D6"/>
    <mergeCell ref="E5:E6"/>
  </mergeCells>
  <conditionalFormatting sqref="H4:BK30">
    <cfRule type="expression" priority="2" aboveAverage="0" equalAverage="0" bottom="0" percent="0" rank="0" text="" dxfId="0">
      <formula>AND(TODAY()&gt;=H$5, TODAY()&lt;I$5)</formula>
    </cfRule>
  </conditionalFormatting>
  <conditionalFormatting sqref="H22:BK24">
    <cfRule type="expression" priority="3" aboveAverage="0" equalAverage="0" bottom="0" percent="0" rank="0" text="" dxfId="1">
      <formula>AND(task_start&lt;=H$5,ROUNDDOWN((task_end-task_start+1)*task_progress,0)+task_start-1&gt;=H$5)</formula>
    </cfRule>
    <cfRule type="expression" priority="4" aboveAverage="0" equalAverage="0" bottom="0" percent="0" rank="0" text="" dxfId="2">
      <formula>AND(task_end&gt;=H$5,task_start&lt;I$5)</formula>
    </cfRule>
  </conditionalFormatting>
  <conditionalFormatting sqref="H16:BK20">
    <cfRule type="expression" priority="5" aboveAverage="0" equalAverage="0" bottom="0" percent="0" rank="0" text="" dxfId="3">
      <formula>AND(task_start&lt;=H$5,ROUNDDOWN((task_end-task_start+1)*task_progress,0)+task_start-1&gt;=H$5)</formula>
    </cfRule>
    <cfRule type="expression" priority="6" aboveAverage="0" equalAverage="0" bottom="0" percent="0" rank="0" text="" dxfId="4">
      <formula>AND(task_end&gt;=H$5,task_start&lt;I$5)</formula>
    </cfRule>
  </conditionalFormatting>
  <conditionalFormatting sqref="H9:BK14">
    <cfRule type="expression" priority="7" aboveAverage="0" equalAverage="0" bottom="0" percent="0" rank="0" text="" dxfId="5">
      <formula>AND(task_start&lt;=H$5,ROUNDDOWN((task_end-task_start+1)*task_progress,0)+task_start-1&gt;=H$5)</formula>
    </cfRule>
    <cfRule type="expression" priority="8" aboveAverage="0" equalAverage="0" bottom="0" percent="0" rank="0" text="" dxfId="6">
      <formula>AND(task_end&gt;=H$5,task_start&lt;I$5)</formula>
    </cfRule>
  </conditionalFormatting>
  <conditionalFormatting sqref="C25:C32 C7:C21">
    <cfRule type="dataBar" priority="9">
      <dataBar showValue="1" minLength="10" maxLength="90">
        <cfvo type="num" val="0"/>
        <cfvo type="num" val="1"/>
        <color rgb="FFFFFFFF"/>
      </dataBar>
      <extLst>
        <ext xmlns:x14="http://schemas.microsoft.com/office/spreadsheetml/2009/9/main" uri="{B025F937-C7B1-47D3-B67F-A62EFF666E3E}">
          <x14:id>{5BE67329-238F-4152-BAF8-784334E04956}</x14:id>
        </ext>
      </extLst>
    </cfRule>
  </conditionalFormatting>
  <conditionalFormatting sqref="H26:BK30">
    <cfRule type="expression" priority="10" aboveAverage="0" equalAverage="0" bottom="0" percent="0" rank="0" text="" dxfId="7">
      <formula>AND(task_start&lt;=H$5,ROUNDDOWN((task_end-task_start+1)*task_progress,0)+task_start-1&gt;=H$5)</formula>
    </cfRule>
    <cfRule type="expression" priority="11" aboveAverage="0" equalAverage="0" bottom="0" percent="0" rank="0" text="" dxfId="8">
      <formula>AND(task_end&gt;=H$5,task_start&lt;I$5)</formula>
    </cfRule>
  </conditionalFormatting>
  <conditionalFormatting sqref="C22:C24">
    <cfRule type="dataBar" priority="12">
      <dataBar showValue="1" minLength="10" maxLength="90">
        <cfvo type="num" val="0"/>
        <cfvo type="num" val="1"/>
        <color rgb="FFFFFFFF"/>
      </dataBar>
      <extLst>
        <ext xmlns:x14="http://schemas.microsoft.com/office/spreadsheetml/2009/9/main" uri="{B025F937-C7B1-47D3-B67F-A62EFF666E3E}">
          <x14:id>{535B5AB3-778E-459F-87C2-EE504038E1B3}</x14:id>
        </ext>
      </extLst>
    </cfRule>
  </conditionalFormatting>
  <dataValidations count="13">
    <dataValidation allowBlank="true" errorStyle="stop" operator="greaterThanOrEqual" prompt="Changing this number will scroll the Gantt Chart view." promptTitle="Display Week" showDropDown="false" showErrorMessage="false" showInputMessage="true" sqref="P2" type="whole">
      <formula1>1</formula1>
      <formula2>0</formula2>
    </dataValidation>
    <dataValidation allowBlank="true" errorStyle="stop" operator="between" prompt="Create a Project Schedule in this worksheet.&#10;Enter title of this project in cell B1. &#10;Information on how to use this worksheet, including instructions for screen readers and the author of this workbook, is in the About worksheet.&#10;" showDropDown="false" showErrorMessage="true" showInputMessage="true" sqref="A1" type="none">
      <formula1>0</formula1>
      <formula2>0</formula2>
    </dataValidation>
    <dataValidation allowBlank="true" errorStyle="stop" operator="between" prompt="Enter Company name in cel B2." showDropDown="false" showErrorMessage="true" showInputMessage="true" sqref="A2" type="none">
      <formula1>0</formula1>
      <formula2>0</formula2>
    </dataValidation>
    <dataValidation allowBlank="true" errorStyle="stop" operator="between" prompt="Enter the name of the Project Lead in cell C3. Enter the Project Start date in cell Q1. Project Start: label is in cell I1." showDropDown="false" showErrorMessage="true" showInputMessage="true" sqref="A3" type="none">
      <formula1>0</formula1>
      <formula2>0</formula2>
    </dataValidation>
    <dataValidation allowBlank="true" errorStyle="stop" operator="between" prompt="The Display week in cell Q2 is the starting week to display in the project schedule in cell I4. The project start date is Week 1. To change the display week, enter a new week number in cell Q2.&#10;&#10;Start date for each week is auto calculated starting in I4." showDropDown="false" showErrorMessage="true" showInputMessage="true" sqref="A4" type="none">
      <formula1>0</formula1>
      <formula2>0</formula2>
    </dataValidation>
    <dataValidation allowBlank="true" errorStyle="stop" operator="between" prompt="Cells I5 through BL5 contain the day number for the week represented in the cell block above each date and are auto calculated.&#10;&#10;Today's date is outlined from today's date in row 5 through the entire date column to the end of the project schedule." showDropDown="false" showErrorMessage="true" showInputMessage="true" sqref="A5:A6" type="none">
      <formula1>0</formula1>
      <formula2>0</formula2>
    </dataValidation>
    <dataValidation allowBlank="true" errorStyle="stop" operator="between" prompt="Cell B8 contains the Phase 1 sample title. Enter a new title in cell B8.&#10;To delete the phase and work only from tasks, simply delete this row." showDropDown="false" showErrorMessage="true" showInputMessage="true" sqref="A8" type="none">
      <formula1>0</formula1>
      <formula2>0</formula2>
    </dataValidation>
    <dataValidation allowBlank="true" errorStyle="stop" operator="between" prompt="B9 contains the task name.  C9 is the assignee.  D9 is a progress bar that shades based on the number entered into the cell.  &#10;&#10;E9 contains the start date and F9 contains the end date.&#10;&#10;The Gantt chart will fill in starting in cell I9 based on task dates." showDropDown="false" showErrorMessage="true" showInputMessage="true" sqref="A9" type="none">
      <formula1>0</formula1>
      <formula2>0</formula2>
    </dataValidation>
    <dataValidation allowBlank="true" errorStyle="stop" operator="between" prompt="Rows 10 through 13 repeat the pattern from row 9. &#10;&#10;Repeat the instructions from cell A9 for all task rows in this worksheet. &#10;&#10;Continue entering tasks in cells A10 through A13 or go to cell A14 to learn more." showDropDown="false" showErrorMessage="true" showInputMessage="true" sqref="A10" type="none">
      <formula1>0</formula1>
      <formula2>0</formula2>
    </dataValidation>
    <dataValidation allowBlank="true" errorStyle="stop" operator="between" prompt="Cell B14 contains the Phase 2 sample title. Enter a new title in cell B14.&#10;To delete the phase and work only from tasks, simply delete this row. To remove the phase, simply delete the row. Add tasks to previous phase by entering a new row above this one.&#10;" showDropDown="false" showErrorMessage="true" showInputMessage="true" sqref="A15" type="none">
      <formula1>0</formula1>
      <formula2>0</formula2>
    </dataValidation>
    <dataValidation allowBlank="true" errorStyle="stop" operator="between" prompt="Phase 3's sample block starts in cell B20." showDropDown="false" showErrorMessage="true" showInputMessage="true" sqref="A21" type="none">
      <formula1>0</formula1>
      <formula2>0</formula2>
    </dataValidation>
    <dataValidation allowBlank="true" errorStyle="stop" operator="between" prompt="Phase 4's sample block starts in cell B26." showDropDown="false" showErrorMessage="true" showInputMessage="true" sqref="A25" type="none">
      <formula1>0</formula1>
      <formula2>0</formula2>
    </dataValidation>
    <dataValidation allowBlank="true" errorStyle="stop" operator="between" prompt="This row marks the end of the Project Schedule. DO NOT enter anything in this row. &#10;Insert new rows ABOVE this one to continue building out your Project Schedule." showDropDown="false" showErrorMessage="true" showInputMessage="true" sqref="A32" type="none">
      <formula1>0</formula1>
      <formula2>0</formula2>
    </dataValidation>
  </dataValidations>
  <printOptions headings="false" gridLines="false" gridLinesSet="true" horizontalCentered="true" verticalCentered="false"/>
  <pageMargins left="0.35" right="0.35" top="0.35" bottom="0.347222222222222" header="0.511811023622047" footer="0.3"/>
  <pageSetup paperSize="1" scale="100" fitToWidth="1" fitToHeight="0" pageOrder="downThenOver" orientation="landscape" blackAndWhite="false" draft="false" cellComments="none" horizontalDpi="300" verticalDpi="300" copies="1"/>
  <headerFooter differentFirst="true" differentOddEven="false">
    <oddHeader/>
    <oddFooter>&amp;CPage &amp;P of &amp;N</oddFooter>
    <firstHeader/>
    <firstFooter/>
  </headerFooter>
  <extLst>
    <ext xmlns:x14="http://schemas.microsoft.com/office/spreadsheetml/2009/9/main" uri="{78C0D931-6437-407d-A8EE-F0AAD7539E65}">
      <x14:conditionalFormattings>
        <x14:conditionalFormatting xmlns:xm="http://schemas.microsoft.com/office/excel/2006/main">
          <x14:cfRule type="dataBar" id="{5BE67329-238F-4152-BAF8-784334E04956}">
            <x14:dataBar minLength="10" maxLength="90" axisPosition="automatic" gradient="false">
              <x14:cfvo type="num">
                <xm:f>0</xm:f>
              </x14:cfvo>
              <x14:cfvo type="num">
                <xm:f>1</xm:f>
              </x14:cfvo>
              <x14:negativeFillColor rgb="FFFF0000"/>
              <x14:axisColor rgb="FF000000"/>
            </x14:dataBar>
          </x14:cfRule>
          <xm:sqref>C25:C32 C7:C21</xm:sqref>
        </x14:conditionalFormatting>
        <x14:conditionalFormatting xmlns:xm="http://schemas.microsoft.com/office/excel/2006/main">
          <x14:cfRule type="dataBar" id="{535B5AB3-778E-459F-87C2-EE504038E1B3}">
            <x14:dataBar minLength="10" maxLength="90" axisPosition="automatic" gradient="false">
              <x14:cfvo type="num">
                <xm:f>0</xm:f>
              </x14:cfvo>
              <x14:cfvo type="num">
                <xm:f>1</xm:f>
              </x14:cfvo>
              <x14:negativeFillColor rgb="FFFF0000"/>
              <x14:axisColor rgb="FF000000"/>
            </x14:dataBar>
          </x14:cfRule>
          <xm:sqref>C22:C24</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true" showRowColHeaders="true" showZeros="true" rightToLeft="false" tabSelected="false" showOutlineSymbols="true" defaultGridColor="true" view="normal" topLeftCell="A10" colorId="64" zoomScale="85" zoomScaleNormal="85" zoomScalePageLayoutView="100" workbookViewId="0">
      <selection pane="topLeft" activeCell="A21" activeCellId="0" sqref="A21"/>
    </sheetView>
  </sheetViews>
  <sheetFormatPr defaultColWidth="8.6171875" defaultRowHeight="14.25" zeroHeight="false" outlineLevelRow="0" outlineLevelCol="0"/>
  <sheetData>
    <row r="1" customFormat="false" ht="14.25" hidden="false" customHeight="false" outlineLevel="0" collapsed="false">
      <c r="A1" s="0" t="s">
        <v>34</v>
      </c>
      <c r="B1" s="0" t="s">
        <v>35</v>
      </c>
      <c r="C1" s="0" t="s">
        <v>36</v>
      </c>
      <c r="D1" s="0" t="s">
        <v>37</v>
      </c>
      <c r="E1" s="0" t="s">
        <v>38</v>
      </c>
      <c r="F1" s="0" t="s">
        <v>39</v>
      </c>
    </row>
    <row r="2" customFormat="false" ht="14.25" hidden="false" customHeight="false" outlineLevel="0" collapsed="false">
      <c r="A2" s="0" t="s">
        <v>40</v>
      </c>
    </row>
    <row r="3" customFormat="false" ht="14.25" hidden="false" customHeight="false" outlineLevel="0" collapsed="false">
      <c r="A3" s="0" t="s">
        <v>41</v>
      </c>
    </row>
    <row r="4" customFormat="false" ht="14.25" hidden="false" customHeight="false" outlineLevel="0" collapsed="false">
      <c r="A4" s="0" t="s">
        <v>42</v>
      </c>
    </row>
    <row r="5" customFormat="false" ht="14.25" hidden="false" customHeight="false" outlineLevel="0" collapsed="false">
      <c r="A5" s="0" t="s">
        <v>43</v>
      </c>
    </row>
    <row r="6" customFormat="false" ht="14.25" hidden="false" customHeight="false" outlineLevel="0" collapsed="false">
      <c r="A6" s="0" t="s">
        <v>44</v>
      </c>
    </row>
    <row r="7" customFormat="false" ht="14.25" hidden="false" customHeight="false" outlineLevel="0" collapsed="false">
      <c r="A7" s="0" t="s">
        <v>45</v>
      </c>
    </row>
    <row r="8" customFormat="false" ht="14.25" hidden="false" customHeight="false" outlineLevel="0" collapsed="false">
      <c r="A8" s="0" t="s">
        <v>46</v>
      </c>
    </row>
    <row r="9" customFormat="false" ht="14.25" hidden="false" customHeight="false" outlineLevel="0" collapsed="false">
      <c r="A9" s="0" t="s">
        <v>47</v>
      </c>
    </row>
    <row r="10" customFormat="false" ht="14.25" hidden="false" customHeight="false" outlineLevel="0" collapsed="false">
      <c r="A10" s="0" t="s">
        <v>48</v>
      </c>
    </row>
    <row r="11" customFormat="false" ht="14.25" hidden="false" customHeight="false" outlineLevel="0" collapsed="false">
      <c r="A11" s="0" t="s">
        <v>49</v>
      </c>
    </row>
    <row r="13" customFormat="false" ht="14.25" hidden="false" customHeight="false" outlineLevel="0" collapsed="false">
      <c r="A13" s="0" t="s">
        <v>40</v>
      </c>
    </row>
    <row r="14" customFormat="false" ht="14.25" hidden="false" customHeight="false" outlineLevel="0" collapsed="false">
      <c r="A14" s="0" t="s">
        <v>50</v>
      </c>
    </row>
    <row r="15" customFormat="false" ht="14.25" hidden="false" customHeight="false" outlineLevel="0" collapsed="false">
      <c r="A15" s="0" t="s">
        <v>51</v>
      </c>
    </row>
    <row r="17" customFormat="false" ht="14.25" hidden="false" customHeight="false" outlineLevel="0" collapsed="false">
      <c r="A17" s="0" t="s">
        <v>50</v>
      </c>
    </row>
    <row r="18" customFormat="false" ht="14.25" hidden="false" customHeight="false" outlineLevel="0" collapsed="false">
      <c r="A18" s="0" t="s">
        <v>52</v>
      </c>
    </row>
    <row r="19" customFormat="false" ht="14.25" hidden="false" customHeight="false" outlineLevel="0" collapsed="false">
      <c r="A19" s="0" t="s">
        <v>53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00390625" defaultRowHeight="12.75" zeroHeight="false" outlineLevelRow="0" outlineLevelCol="0"/>
  <cols>
    <col collapsed="false" customWidth="true" hidden="false" outlineLevel="0" max="1" min="1" style="96" width="87"/>
    <col collapsed="false" customWidth="false" hidden="false" outlineLevel="0" max="16384" min="2" style="6" width="9"/>
  </cols>
  <sheetData>
    <row r="1" customFormat="false" ht="46.5" hidden="false" customHeight="true" outlineLevel="0" collapsed="false"/>
    <row r="2" s="99" customFormat="true" ht="15" hidden="false" customHeight="false" outlineLevel="0" collapsed="false">
      <c r="A2" s="97" t="s">
        <v>54</v>
      </c>
      <c r="B2" s="98"/>
    </row>
    <row r="3" s="102" customFormat="true" ht="27" hidden="false" customHeight="true" outlineLevel="0" collapsed="false">
      <c r="A3" s="100"/>
      <c r="B3" s="101"/>
    </row>
    <row r="4" s="104" customFormat="true" ht="24.45" hidden="false" customHeight="false" outlineLevel="0" collapsed="false">
      <c r="A4" s="103" t="s">
        <v>55</v>
      </c>
    </row>
    <row r="5" customFormat="false" ht="74.25" hidden="false" customHeight="true" outlineLevel="0" collapsed="false">
      <c r="A5" s="105" t="s">
        <v>56</v>
      </c>
    </row>
    <row r="6" customFormat="false" ht="26.25" hidden="false" customHeight="true" outlineLevel="0" collapsed="false">
      <c r="A6" s="103" t="s">
        <v>57</v>
      </c>
    </row>
    <row r="7" s="96" customFormat="true" ht="204.75" hidden="false" customHeight="true" outlineLevel="0" collapsed="false">
      <c r="A7" s="106" t="s">
        <v>58</v>
      </c>
    </row>
    <row r="8" s="104" customFormat="true" ht="24.45" hidden="false" customHeight="false" outlineLevel="0" collapsed="false">
      <c r="A8" s="103" t="s">
        <v>59</v>
      </c>
    </row>
    <row r="9" customFormat="false" ht="52.2" hidden="false" customHeight="false" outlineLevel="0" collapsed="false">
      <c r="A9" s="105" t="s">
        <v>60</v>
      </c>
    </row>
    <row r="10" s="96" customFormat="true" ht="27.75" hidden="false" customHeight="true" outlineLevel="0" collapsed="false">
      <c r="A10" s="107" t="s">
        <v>61</v>
      </c>
    </row>
    <row r="11" s="104" customFormat="true" ht="24.45" hidden="false" customHeight="false" outlineLevel="0" collapsed="false">
      <c r="A11" s="103" t="s">
        <v>62</v>
      </c>
    </row>
    <row r="12" customFormat="false" ht="26.85" hidden="false" customHeight="false" outlineLevel="0" collapsed="false">
      <c r="A12" s="105" t="s">
        <v>63</v>
      </c>
    </row>
    <row r="13" s="96" customFormat="true" ht="27.75" hidden="false" customHeight="true" outlineLevel="0" collapsed="false">
      <c r="A13" s="107" t="s">
        <v>64</v>
      </c>
    </row>
    <row r="14" s="104" customFormat="true" ht="24.45" hidden="false" customHeight="false" outlineLevel="0" collapsed="false">
      <c r="A14" s="103" t="s">
        <v>65</v>
      </c>
    </row>
    <row r="15" customFormat="false" ht="75" hidden="false" customHeight="true" outlineLevel="0" collapsed="false">
      <c r="A15" s="105" t="s">
        <v>66</v>
      </c>
    </row>
    <row r="16" customFormat="false" ht="64.9" hidden="false" customHeight="false" outlineLevel="0" collapsed="false">
      <c r="A16" s="105" t="s">
        <v>67</v>
      </c>
    </row>
    <row r="17" customFormat="false" ht="12.75" hidden="false" customHeight="false" outlineLevel="0" collapsed="false">
      <c r="A17" s="108"/>
    </row>
    <row r="18" customFormat="false" ht="12.75" hidden="false" customHeight="false" outlineLevel="0" collapsed="false">
      <c r="A18" s="108"/>
    </row>
    <row r="19" customFormat="false" ht="12.75" hidden="false" customHeight="false" outlineLevel="0" collapsed="false">
      <c r="A19" s="108"/>
    </row>
    <row r="20" customFormat="false" ht="12.75" hidden="false" customHeight="false" outlineLevel="0" collapsed="false">
      <c r="A20" s="108"/>
    </row>
    <row r="21" customFormat="false" ht="12.75" hidden="false" customHeight="false" outlineLevel="0" collapsed="false">
      <c r="A21" s="108"/>
    </row>
    <row r="22" customFormat="false" ht="12.75" hidden="false" customHeight="false" outlineLevel="0" collapsed="false">
      <c r="A22" s="108"/>
    </row>
    <row r="23" customFormat="false" ht="12.75" hidden="false" customHeight="false" outlineLevel="0" collapsed="false">
      <c r="A23" s="108"/>
    </row>
    <row r="24" customFormat="false" ht="12.75" hidden="false" customHeight="false" outlineLevel="0" collapsed="false">
      <c r="A24" s="108"/>
    </row>
  </sheetData>
  <hyperlinks>
    <hyperlink ref="A2" r:id="rId1" display="SIMPLE GANTT CHART by Vertex42.com"/>
    <hyperlink ref="A10" r:id="rId2" display="How to Use the Simple Gantt Chart"/>
    <hyperlink ref="A13" r:id="rId3" display="Project Management Templates"/>
  </hyperlinks>
  <printOptions headings="false" gridLines="false" gridLinesSet="true" horizontalCentered="false" verticalCentered="false"/>
  <pageMargins left="0.5" right="0.5" top="0.5"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4"/>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813059A93CBE546A03E50F175B69418" ma:contentTypeVersion="4" ma:contentTypeDescription="Create a new document." ma:contentTypeScope="" ma:versionID="293afc8c2bf3663649fcc11d39f7f52b">
  <xsd:schema xmlns:xsd="http://www.w3.org/2001/XMLSchema" xmlns:xs="http://www.w3.org/2001/XMLSchema" xmlns:p="http://schemas.microsoft.com/office/2006/metadata/properties" xmlns:ns3="5a22909f-ce5c-44b9-aebb-09fe3291eb90" targetNamespace="http://schemas.microsoft.com/office/2006/metadata/properties" ma:root="true" ma:fieldsID="214a354f759ee2e869b2c94b3e01d5b5" ns3:_="">
    <xsd:import namespace="5a22909f-ce5c-44b9-aebb-09fe3291eb90"/>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a22909f-ce5c-44b9-aebb-09fe3291eb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2239A0-E68C-493F-BEE6-C77FEA397FD6}">
  <ds:schemaRefs>
    <ds:schemaRef ds:uri="http://schemas.microsoft.com/office/infopath/2007/PartnerControls"/>
    <ds:schemaRef ds:uri="http://schemas.openxmlformats.org/package/2006/metadata/core-properties"/>
    <ds:schemaRef ds:uri="http://www.w3.org/XML/1998/namespace"/>
    <ds:schemaRef ds:uri="5a22909f-ce5c-44b9-aebb-09fe3291eb90"/>
    <ds:schemaRef ds:uri="http://purl.org/dc/terms/"/>
    <ds:schemaRef ds:uri="http://purl.org/dc/elements/1.1/"/>
    <ds:schemaRef ds:uri="http://schemas.microsoft.com/office/2006/documentManagement/types"/>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3.xml><?xml version="1.0" encoding="utf-8"?>
<ds:datastoreItem xmlns:ds="http://schemas.openxmlformats.org/officeDocument/2006/customXml" ds:itemID="{48975492-F875-4BD9-A69C-B6F430A1D6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a22909f-ce5c-44b9-aebb-09fe3291eb9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TotalTime>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2022-03-11T22:41:12Z</dcterms:created>
  <dc:creator>Anas Qureshi</dc:creator>
  <dc:description/>
  <dc:language>en-US</dc:language>
  <cp:lastModifiedBy/>
  <dcterms:modified xsi:type="dcterms:W3CDTF">2026-09-01T02:13:22Z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0x0101007813059A93CBE546A03E50F175B69418</vt:lpwstr>
  </property>
  <property fmtid="{D5CDD505-2E9C-101B-9397-08002B2CF9AE}" pid="3" name="MediaServiceImageTags">
    <vt:lpwstr/>
  </property>
</Properties>
</file>