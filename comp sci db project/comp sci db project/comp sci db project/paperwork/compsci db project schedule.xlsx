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comp sci db project\paperwork\"/>
    </mc:Choice>
  </mc:AlternateContent>
  <bookViews>
    <workbookView xWindow="-120" yWindow="-120" windowWidth="20730" windowHeight="11040"/>
  </bookViews>
  <sheets>
    <sheet name="Project schedule" sheetId="11" r:id="rId1"/>
    <sheet name="Data Dictionary" sheetId="13" r:id="rId2"/>
    <sheet name="About" sheetId="12" r:id="rId3"/>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1" l="1"/>
  <c r="D30" i="11"/>
  <c r="E29" i="11"/>
  <c r="D29" i="11"/>
  <c r="E28" i="11"/>
  <c r="D28" i="11"/>
  <c r="E27" i="11"/>
  <c r="D27" i="11"/>
  <c r="E26" i="11"/>
  <c r="D26" i="11"/>
  <c r="E24" i="11"/>
  <c r="D24" i="11"/>
  <c r="E23" i="11"/>
  <c r="E22" i="11"/>
  <c r="G7" i="11"/>
  <c r="D9" i="11" l="1"/>
  <c r="E9" i="11" l="1"/>
  <c r="D10" i="11" s="1"/>
  <c r="H5" i="11"/>
  <c r="G32" i="11"/>
  <c r="G31" i="11"/>
  <c r="G25" i="11"/>
  <c r="G21" i="11"/>
  <c r="G15" i="11"/>
  <c r="G8" i="11"/>
  <c r="E10" i="11" l="1"/>
  <c r="D11" i="11" s="1"/>
  <c r="E11" i="11" s="1"/>
  <c r="D23" i="11"/>
  <c r="G9" i="11"/>
  <c r="H6" i="11"/>
  <c r="G24" i="11" l="1"/>
  <c r="G23" i="11"/>
  <c r="G22" i="11"/>
  <c r="G30" i="11"/>
  <c r="G29" i="11"/>
  <c r="G26" i="11"/>
  <c r="G10" i="11"/>
  <c r="D12" i="11"/>
  <c r="E12" i="11" s="1"/>
  <c r="D13" i="11" s="1"/>
  <c r="I5" i="11"/>
  <c r="J5" i="11" s="1"/>
  <c r="K5" i="11" s="1"/>
  <c r="L5" i="11" s="1"/>
  <c r="M5" i="11" s="1"/>
  <c r="N5" i="11" s="1"/>
  <c r="O5" i="11" s="1"/>
  <c r="H4" i="11"/>
  <c r="E13" i="11" l="1"/>
  <c r="G27" i="11"/>
  <c r="G28" i="11"/>
  <c r="G11" i="11"/>
  <c r="G12" i="11"/>
  <c r="O4" i="11"/>
  <c r="P5" i="11"/>
  <c r="Q5" i="11" s="1"/>
  <c r="R5" i="11" s="1"/>
  <c r="S5" i="11" s="1"/>
  <c r="T5" i="11" s="1"/>
  <c r="U5" i="11" s="1"/>
  <c r="V5" i="11" s="1"/>
  <c r="I6" i="11"/>
  <c r="G13" i="11" l="1"/>
  <c r="D14" i="11"/>
  <c r="V4" i="11"/>
  <c r="W5" i="11"/>
  <c r="X5" i="11" s="1"/>
  <c r="Y5" i="11" s="1"/>
  <c r="Z5" i="11" s="1"/>
  <c r="AA5" i="11" s="1"/>
  <c r="AB5" i="11" s="1"/>
  <c r="AC5" i="11" s="1"/>
  <c r="J6" i="11"/>
  <c r="E14" i="11" l="1"/>
  <c r="D16" i="11" s="1"/>
  <c r="AD5" i="11"/>
  <c r="AE5" i="11" s="1"/>
  <c r="AF5" i="11" s="1"/>
  <c r="AG5" i="11" s="1"/>
  <c r="AH5" i="11" s="1"/>
  <c r="AI5" i="11" s="1"/>
  <c r="AC4" i="11"/>
  <c r="K6" i="11"/>
  <c r="E16" i="11" l="1"/>
  <c r="G16" i="11" s="1"/>
  <c r="D17" i="11"/>
  <c r="E17" i="11" s="1"/>
  <c r="G14" i="11"/>
  <c r="AJ5" i="11"/>
  <c r="AK5" i="11" s="1"/>
  <c r="AL5" i="11" s="1"/>
  <c r="AM5" i="11" s="1"/>
  <c r="AN5" i="11" s="1"/>
  <c r="AO5" i="11" s="1"/>
  <c r="AP5" i="11" s="1"/>
  <c r="L6" i="11"/>
  <c r="G17" i="11" l="1"/>
  <c r="D18" i="11"/>
  <c r="AQ5" i="11"/>
  <c r="AR5" i="11" s="1"/>
  <c r="AJ4" i="11"/>
  <c r="M6" i="11"/>
  <c r="E18" i="11" l="1"/>
  <c r="AS5" i="11"/>
  <c r="AR6" i="11"/>
  <c r="AQ4" i="11"/>
  <c r="N6" i="11"/>
  <c r="G18" i="11" l="1"/>
  <c r="D19" i="11"/>
  <c r="AT5" i="11"/>
  <c r="AS6" i="11"/>
  <c r="E19" i="11" l="1"/>
  <c r="AU5" i="11"/>
  <c r="AT6" i="11"/>
  <c r="O6" i="11"/>
  <c r="P6" i="11"/>
  <c r="G19" i="11" l="1"/>
  <c r="D20" i="11"/>
  <c r="AV5" i="11"/>
  <c r="AU6" i="11"/>
  <c r="Q6" i="11"/>
  <c r="E20" i="11" l="1"/>
  <c r="G20" i="11" s="1"/>
  <c r="AW5" i="1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<sst xmlns="http://schemas.openxmlformats.org/spreadsheetml/2006/main" count="70" uniqueCount="68">
  <si>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</si>
  <si>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</si>
  <si>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</si>
  <si>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</si>
  <si>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</si>
  <si>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</si>
  <si>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</si>
  <si>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</si>
  <si>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</si>
  <si>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</si>
  <si>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</si>
  <si>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</si>
  <si>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</si>
  <si>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</si>
  <si>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</si>
  <si>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</si>
  <si>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</si>
  <si>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</si>
  <si>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</si>
  <si>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</si>
  <si>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</si>
  <si>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</si>
  <si>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Pokemon Trading Card Game Management System</t>
  </si>
  <si>
    <t>Investigate</t>
  </si>
  <si>
    <t>Project Shedule (create gantt chart)</t>
  </si>
  <si>
    <t>Problem Outline</t>
  </si>
  <si>
    <t>Problem Description</t>
  </si>
  <si>
    <t>List of functional and non-functional requirements</t>
  </si>
  <si>
    <t>Design</t>
  </si>
  <si>
    <t>ERD</t>
  </si>
  <si>
    <t>Data Dictionary</t>
  </si>
  <si>
    <t>List of SQL queries</t>
  </si>
  <si>
    <t>structure chart for python program</t>
  </si>
  <si>
    <t>Develop</t>
  </si>
  <si>
    <t>Testing and Evaluation</t>
  </si>
  <si>
    <t>Field Name</t>
  </si>
  <si>
    <t>Data Type</t>
  </si>
  <si>
    <t>Field Size</t>
  </si>
  <si>
    <t>Description</t>
  </si>
  <si>
    <t>Constraints</t>
  </si>
  <si>
    <t>PlayerID</t>
  </si>
  <si>
    <t>Username</t>
  </si>
  <si>
    <t>DateJoined</t>
  </si>
  <si>
    <t>DateOfBirth</t>
  </si>
  <si>
    <t>PhoneNumber</t>
  </si>
  <si>
    <t>Email</t>
  </si>
  <si>
    <t>TournamentsEntered</t>
  </si>
  <si>
    <t>MatchesPlayed</t>
  </si>
  <si>
    <t>MatchesWon</t>
  </si>
  <si>
    <t>Cards</t>
  </si>
  <si>
    <t>Key Type</t>
  </si>
  <si>
    <t>CardID</t>
  </si>
  <si>
    <t>Quantity</t>
  </si>
  <si>
    <t>CardName</t>
  </si>
  <si>
    <t>CardType</t>
  </si>
  <si>
    <t>Collect data on pokemon cards etc</t>
  </si>
  <si>
    <t>List of ethical, legal and security considerations</t>
  </si>
  <si>
    <t>Function specification for each major function</t>
  </si>
  <si>
    <t>SQL script that creates complete database structure and populates it</t>
  </si>
  <si>
    <t>Python application and its functions</t>
  </si>
  <si>
    <t>Functions performing sql queries</t>
  </si>
  <si>
    <t>Test using appropriate test data</t>
  </si>
  <si>
    <t>Evaluate and check if requirements are met</t>
  </si>
  <si>
    <t>Identify strengths and limitations</t>
  </si>
  <si>
    <t>Suggest future improvements</t>
  </si>
  <si>
    <t>Specify where AI was used</t>
  </si>
  <si>
    <t>Project due:</t>
  </si>
  <si>
    <t>Fri, 8/14/2026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</si>
</sst>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m/d/yy;@"/>
    <numFmt numFmtId="166" formatCode="ddd\,\ m/d/yyyy"/>
    <numFmt numFmtId="167" formatCode="mmm\ d\,\ yyyy"/>
    <numFmt numFmtId="168" formatCode="d"/>
  </numFmts>
  <fonts count="29"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20"/>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3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0.14993743705557422"/>
      </left>
      <right/>
      <top/>
      <bottom/>
      <diagonal/>
    </border>
    <border>
      <left style="thin">
        <color theme="0" tint="-4.9989318521683403E-2"/>
      </left>
      <right/>
      <top style="thin">
        <color theme="0" tint="-4.9989318521683403E-2"/>
      </top>
      <bottom style="thin">
        <color theme="0" tint="-4.9989318521683403E-2"/>
      </bottom>
      <diagonal/>
    </border>
    <border>
      <left/>
      <right style="thin">
        <color theme="0" tint="-0.14993743705557422"/>
      </right>
      <top/>
      <bottom/>
      <diagonal/>
    </border>
    <border>
      <left/>
      <right style="thin">
        <color theme="0" tint="-4.9989318521683403E-2"/>
      </right>
      <top style="thin">
        <color theme="0" tint="-4.9989318521683403E-2"/>
      </top>
      <bottom style="thin">
        <color theme="0" tint="-4.9989318521683403E-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theme="0" tint="-4.9989318521683403E-2"/>
      </top>
      <bottom/>
      <diagonal/>
    </border>
    <border>
      <left style="thin">
        <color indexed="64"/>
      </left>
      <right style="thin">
        <color indexed="64"/>
      </right>
      <top style="thin">
        <color theme="0" tint="-4.9989318521683403E-2"/>
      </top>
      <bottom style="thin">
        <color theme="0" tint="-4.9989318521683403E-2"/>
      </bottom>
      <diagonal/>
    </border>
    <border>
      <left style="thin">
        <color indexed="64"/>
      </left>
      <right style="thin">
        <color indexed="64"/>
      </right>
      <top/>
      <bottom style="thin">
        <color theme="0" tint="-4.9989318521683403E-2"/>
      </bottom>
      <diagonal/>
    </border>
    <border>
      <left style="thin">
        <color indexed="64"/>
      </left>
      <right style="thin">
        <color indexed="64"/>
      </right>
      <top style="thin">
        <color theme="0" tint="-4.9989318521683403E-2"/>
      </top>
      <bottom style="thin">
        <color indexed="64"/>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5">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15"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8" fillId="12" borderId="20" xfId="0" applyNumberFormat="1" applyFont="1" applyFill="1" applyBorder="1" applyAlignment="1">
      <alignment horizontal="center" vertical="center"/>
    </xf>
    <xf numFmtId="168" fontId="18" fillId="12" borderId="18" xfId="0" applyNumberFormat="1" applyFont="1" applyFill="1" applyBorder="1" applyAlignment="1">
      <alignment horizontal="center" vertical="center"/>
    </xf>
    <xf numFmtId="168" fontId="18" fillId="12" borderId="19" xfId="0" applyNumberFormat="1" applyFont="1" applyFill="1" applyBorder="1" applyAlignment="1">
      <alignment horizontal="center" vertical="center"/>
    </xf>
    <xf numFmtId="0" fontId="19" fillId="2" borderId="17"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9" fillId="2" borderId="15" xfId="0" applyFont="1" applyFill="1" applyBorder="1" applyAlignment="1">
      <alignment horizontal="center" vertical="center" shrinkToFit="1"/>
    </xf>
    <xf numFmtId="0" fontId="16" fillId="0" borderId="0" xfId="0" applyFont="1"/>
    <xf numFmtId="0" fontId="4" fillId="0" borderId="3" xfId="0" applyFont="1" applyBorder="1" applyAlignment="1">
      <alignment vertical="center"/>
    </xf>
    <xf numFmtId="0" fontId="20" fillId="6" borderId="0" xfId="0" applyFont="1" applyFill="1" applyAlignment="1">
      <alignment horizontal="left" vertical="center" indent="1"/>
    </xf>
    <xf numFmtId="9" fontId="1" fillId="6" borderId="0" xfId="2" applyFont="1" applyFill="1" applyBorder="1" applyAlignment="1">
      <alignment horizontal="center" vertical="center"/>
    </xf>
    <xf numFmtId="165" fontId="16"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9" fontId="1" fillId="3" borderId="6" xfId="2" applyFont="1" applyFill="1" applyBorder="1" applyAlignment="1">
      <alignment horizontal="center" vertical="center"/>
    </xf>
    <xf numFmtId="165" fontId="16" fillId="3" borderId="6" xfId="10" applyFont="1" applyFill="1" applyBorder="1">
      <alignment horizontal="center" vertical="center"/>
    </xf>
    <xf numFmtId="0" fontId="4" fillId="0" borderId="4" xfId="0" applyFont="1" applyBorder="1" applyAlignment="1">
      <alignment vertical="center"/>
    </xf>
    <xf numFmtId="9" fontId="1" fillId="3" borderId="7" xfId="2" applyFont="1" applyFill="1" applyBorder="1" applyAlignment="1">
      <alignment horizontal="center" vertical="center"/>
    </xf>
    <xf numFmtId="165" fontId="16" fillId="3" borderId="7" xfId="10" applyFont="1" applyFill="1" applyBorder="1">
      <alignment horizontal="center" vertical="center"/>
    </xf>
    <xf numFmtId="0" fontId="4" fillId="0" borderId="4" xfId="0" applyFont="1" applyBorder="1" applyAlignment="1">
      <alignment horizontal="right" vertical="center"/>
    </xf>
    <xf numFmtId="0" fontId="20" fillId="7" borderId="0" xfId="0" applyFont="1" applyFill="1" applyAlignment="1">
      <alignment horizontal="left" vertical="center" indent="1"/>
    </xf>
    <xf numFmtId="9" fontId="1" fillId="7" borderId="0" xfId="2" applyFont="1" applyFill="1" applyBorder="1" applyAlignment="1">
      <alignment horizontal="center" vertical="center"/>
    </xf>
    <xf numFmtId="165" fontId="16"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9" fontId="1" fillId="4" borderId="5" xfId="2" applyFont="1" applyFill="1" applyBorder="1" applyAlignment="1">
      <alignment horizontal="center" vertical="center"/>
    </xf>
    <xf numFmtId="165" fontId="16" fillId="4" borderId="5" xfId="10" applyFont="1" applyFill="1" applyBorder="1">
      <alignment horizontal="center" vertical="center"/>
    </xf>
    <xf numFmtId="0" fontId="20" fillId="8" borderId="0" xfId="0" applyFont="1" applyFill="1" applyAlignment="1">
      <alignment horizontal="left" vertical="center" indent="1"/>
    </xf>
    <xf numFmtId="9" fontId="1" fillId="8" borderId="0" xfId="2" applyFont="1" applyFill="1" applyBorder="1" applyAlignment="1">
      <alignment horizontal="center" vertical="center"/>
    </xf>
    <xf numFmtId="165" fontId="16"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9" fontId="1" fillId="5" borderId="8" xfId="2" applyFont="1" applyFill="1" applyBorder="1" applyAlignment="1">
      <alignment horizontal="center" vertical="center"/>
    </xf>
    <xf numFmtId="165" fontId="16" fillId="5" borderId="8" xfId="10" applyFont="1" applyFill="1" applyBorder="1">
      <alignment horizontal="center" vertical="center"/>
    </xf>
    <xf numFmtId="0" fontId="20" fillId="9" borderId="0" xfId="0" applyFont="1" applyFill="1" applyAlignment="1">
      <alignment horizontal="left" vertical="center" indent="1"/>
    </xf>
    <xf numFmtId="9" fontId="1" fillId="9" borderId="0" xfId="2" applyFont="1" applyFill="1" applyBorder="1" applyAlignment="1">
      <alignment horizontal="center" vertical="center"/>
    </xf>
    <xf numFmtId="165" fontId="16"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6" fillId="10" borderId="9" xfId="12" applyFont="1" applyFill="1" applyBorder="1">
      <alignment horizontal="left" vertical="center" indent="2"/>
    </xf>
    <xf numFmtId="9" fontId="1" fillId="10" borderId="9" xfId="2" applyFont="1" applyFill="1" applyBorder="1" applyAlignment="1">
      <alignment horizontal="center" vertical="center"/>
    </xf>
    <xf numFmtId="165" fontId="16" fillId="10" borderId="9" xfId="10" applyFont="1" applyFill="1" applyBorder="1">
      <alignment horizontal="center" vertical="center"/>
    </xf>
    <xf numFmtId="0" fontId="16" fillId="0" borderId="0" xfId="12" applyFont="1" applyBorder="1">
      <alignment horizontal="left" vertical="center" indent="2"/>
    </xf>
    <xf numFmtId="9" fontId="1" fillId="0" borderId="0" xfId="2" applyFont="1" applyBorder="1" applyAlignment="1">
      <alignment horizontal="center" vertical="center"/>
    </xf>
    <xf numFmtId="165" fontId="16" fillId="0" borderId="0" xfId="10" applyFont="1" applyBorder="1">
      <alignment horizontal="center" vertical="center"/>
    </xf>
    <xf numFmtId="0" fontId="21" fillId="2" borderId="0" xfId="0" applyFont="1" applyFill="1" applyAlignment="1">
      <alignment horizontal="left" vertical="center" indent="1"/>
    </xf>
    <xf numFmtId="9" fontId="1" fillId="2" borderId="0" xfId="2" applyFont="1" applyFill="1" applyBorder="1" applyAlignment="1">
      <alignment horizontal="center" vertical="center"/>
    </xf>
    <xf numFmtId="165" fontId="22"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3" fillId="0" borderId="0" xfId="6"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3"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16" fillId="3" borderId="7" xfId="12" applyFont="1" applyFill="1" applyBorder="1" applyAlignment="1">
      <alignment horizontal="left" vertical="center" wrapText="1" indent="2"/>
    </xf>
    <xf numFmtId="0" fontId="16" fillId="3" borderId="6" xfId="12" applyFont="1" applyFill="1" applyBorder="1" applyAlignment="1">
      <alignment horizontal="left" vertical="center" wrapText="1" indent="2"/>
    </xf>
    <xf numFmtId="0" fontId="16" fillId="4" borderId="5" xfId="12" applyFont="1" applyFill="1" applyBorder="1" applyAlignment="1">
      <alignment horizontal="left" vertical="center" wrapText="1" indent="2"/>
    </xf>
    <xf numFmtId="0" fontId="16" fillId="5" borderId="8" xfId="12" applyFont="1" applyFill="1" applyBorder="1" applyAlignment="1">
      <alignment horizontal="left" vertical="center" wrapText="1" indent="2"/>
    </xf>
    <xf numFmtId="0" fontId="4" fillId="0" borderId="22"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25" xfId="0" applyFont="1" applyBorder="1" applyAlignment="1">
      <alignment vertical="center"/>
    </xf>
    <xf numFmtId="168" fontId="18" fillId="12" borderId="16" xfId="0" applyNumberFormat="1" applyFont="1" applyFill="1" applyBorder="1" applyAlignment="1">
      <alignment horizontal="center" vertical="center"/>
    </xf>
    <xf numFmtId="0" fontId="4" fillId="0" borderId="0" xfId="0" applyFont="1" applyBorder="1" applyAlignment="1">
      <alignment vertical="center"/>
    </xf>
    <xf numFmtId="0" fontId="19" fillId="2" borderId="26" xfId="0" applyFont="1" applyFill="1" applyBorder="1" applyAlignment="1">
      <alignment horizontal="center" vertical="center" shrinkToFit="1"/>
    </xf>
    <xf numFmtId="0" fontId="4" fillId="0" borderId="27" xfId="0" applyFont="1" applyBorder="1" applyAlignment="1">
      <alignment vertical="center"/>
    </xf>
    <xf numFmtId="0" fontId="4" fillId="0" borderId="28"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4" fillId="0" borderId="31" xfId="0" applyFont="1" applyBorder="1" applyAlignment="1">
      <alignment vertical="center"/>
    </xf>
    <xf numFmtId="0" fontId="23" fillId="0" borderId="0" xfId="8" applyFont="1" applyAlignment="1">
      <alignment horizontal="right"/>
    </xf>
    <xf numFmtId="0" fontId="4" fillId="0" borderId="0" xfId="0" applyFont="1" applyAlignment="1">
      <alignment horizontal="right"/>
    </xf>
    <xf numFmtId="166" fontId="24" fillId="0" borderId="0" xfId="9" applyFont="1" applyBorder="1" applyAlignment="1">
      <alignment horizontal="left"/>
    </xf>
    <xf numFmtId="167" fontId="16" fillId="2" borderId="13" xfId="0" applyNumberFormat="1" applyFont="1" applyFill="1" applyBorder="1" applyAlignment="1">
      <alignment horizontal="center" vertical="center" wrapText="1"/>
    </xf>
    <xf numFmtId="167" fontId="16" fillId="2" borderId="19" xfId="0" applyNumberFormat="1" applyFont="1" applyFill="1" applyBorder="1" applyAlignment="1">
      <alignment horizontal="center" vertical="center" wrapText="1"/>
    </xf>
    <xf numFmtId="167" fontId="16" fillId="2" borderId="18" xfId="0" applyNumberFormat="1" applyFont="1" applyFill="1" applyBorder="1" applyAlignment="1">
      <alignment horizontal="center" vertical="center" wrapText="1"/>
    </xf>
    <xf numFmtId="0" fontId="24" fillId="0" borderId="0" xfId="0" applyFont="1" applyAlignment="1">
      <alignment horizontal="left"/>
    </xf>
    <xf numFmtId="0" fontId="25" fillId="0" borderId="0" xfId="0" applyFont="1"/>
    <xf numFmtId="0" fontId="23" fillId="0" borderId="0" xfId="8" applyFont="1" applyAlignment="1">
      <alignment horizontal="left"/>
    </xf>
    <xf numFmtId="0" fontId="4" fillId="0" borderId="0" xfId="0" applyFont="1"/>
    <xf numFmtId="0" fontId="28" fillId="0" borderId="0" xfId="5" applyFont="1" applyAlignment="1">
      <alignment horizontal="left" wrapText="1"/>
    </xf>
    <xf numFmtId="0" fontId="11" fillId="0" borderId="0" xfId="3" applyAlignment="1">
      <alignment wrapText="1"/>
    </xf>
    <xf numFmtId="0" fontId="17"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7" fillId="11" borderId="16" xfId="0" applyFont="1" applyFill="1" applyBorder="1" applyAlignment="1">
      <alignment horizontal="center" vertical="center"/>
    </xf>
    <xf numFmtId="0" fontId="4" fillId="2" borderId="21" xfId="0" applyFont="1" applyFill="1" applyBorder="1"/>
  </cellXfs>
  <cellStyles count="13">
    <cellStyle name="Comma" xfId="4" builtinId="3" customBuiltin="1"/>
    <cellStyle name="Date" xfId="10"/>
    <cellStyle name="Heading 1" xfId="6" builtinId="16" customBuiltin="1"/>
    <cellStyle name="Heading 2" xfId="7" builtinId="17" customBuiltin="1"/>
    <cellStyle name="Heading 3" xfId="8" builtinId="18" customBuiltin="1"/>
    <cellStyle name="Hyperlink" xfId="1" builtinId="8" customBuiltin="1"/>
    <cellStyle name="Name" xfId="11"/>
    <cellStyle name="Normal" xfId="0" builtinId="0"/>
    <cellStyle name="Percent" xfId="2" builtinId="5"/>
    <cellStyle name="Project Start" xfId="9"/>
    <cellStyle name="Task" xfId="12"/>
    <cellStyle name="Title" xfId="5" builtinId="15" customBuiltin="1"/>
    <cellStyle name="zHiddenText" xfId="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22</xdr:col>
      <xdr:colOff>638736</xdr:colOff>
      <xdr:row>37</xdr:row>
      <xdr:rowOff>93042</xdr:rowOff>
    </xdr:to>
    <xdr:pic>
      <xdr:nvPicPr>
        <xdr:cNvPr id="2" name="Picture 1">
          <a:extLst>
            <a:ext uri="{FF2B5EF4-FFF2-40B4-BE49-F238E27FC236}">
              <a16:creationId xmlns:a16="http://schemas.microsoft.com/office/drawing/2014/main" id="{0FEF1087-2A8A-D1C1-332B-C0ECD71A72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84912" y="358588"/>
          <a:ext cx="10208559" cy="63683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K34"/>
  <sheetViews>
    <sheetView showGridLines="0" tabSelected="1" showRuler="0" topLeftCell="A3" zoomScaleNormal="100" zoomScalePageLayoutView="70" workbookViewId="0">
      <selection activeCell="M13" sqref="M13"/>
    </sheetView>
  </sheetViews>
  <sheetFormatPr defaultColWidth="8.75" defaultRowHeight="30" customHeight="1" x14ac:dyDescent="0.2"/>
  <cols>
    <col min="1" max="1" width="2.75" style="12" customWidth="1"/>
    <col min="2" max="2" width="33.875" customWidth="1"/>
    <col min="3" max="3" width="10.75" customWidth="1"/>
    <col min="4" max="4" width="10.75" style="2" customWidth="1"/>
    <col min="5" max="5" width="10.75" customWidth="1"/>
    <col min="6" max="6" width="2.75" customWidth="1"/>
    <col min="7" max="7" width="6" hidden="1" customWidth="1"/>
    <col min="8" max="64" width="2.75" customWidth="1"/>
  </cols>
  <sheetData>
    <row r="1" spans="1:63" ht="90" customHeight="1" x14ac:dyDescent="0.6">
      <c r="A1" s="13"/>
      <c r="B1" s="109" t="s">
        <v>22</v>
      </c>
      <c r="C1" s="109"/>
      <c r="D1" s="109"/>
      <c r="E1" s="16"/>
      <c r="G1" s="1"/>
      <c r="H1" s="107" t="s">
        <v>20</v>
      </c>
      <c r="I1" s="108"/>
      <c r="J1" s="108"/>
      <c r="K1" s="108"/>
      <c r="L1" s="108"/>
      <c r="M1" s="108"/>
      <c r="N1" s="108"/>
      <c r="O1" s="19"/>
      <c r="P1" s="101">
        <v>46218</v>
      </c>
      <c r="Q1" s="106"/>
      <c r="R1" s="106"/>
      <c r="S1" s="106"/>
      <c r="T1" s="106"/>
      <c r="U1" s="106"/>
      <c r="V1" s="106"/>
      <c r="W1" s="106"/>
      <c r="X1" s="106"/>
      <c r="Y1" s="106"/>
      <c r="Z1" s="99" t="s">
        <v>66</v>
      </c>
      <c r="AA1" s="100"/>
      <c r="AB1" s="100"/>
      <c r="AC1" s="100"/>
      <c r="AD1" s="100"/>
      <c r="AE1" s="100"/>
      <c r="AG1" s="101" t="s">
        <v>67</v>
      </c>
      <c r="AH1" s="101"/>
      <c r="AI1" s="101"/>
      <c r="AJ1" s="101"/>
      <c r="AK1" s="101"/>
      <c r="AL1" s="101"/>
      <c r="AM1" s="101"/>
      <c r="AN1" s="101"/>
    </row>
    <row r="2" spans="1:63" ht="30" customHeight="1" x14ac:dyDescent="0.5">
      <c r="B2" s="75"/>
      <c r="C2" s="17"/>
      <c r="D2" s="18"/>
      <c r="E2" s="17"/>
      <c r="H2" s="107" t="s">
        <v>21</v>
      </c>
      <c r="I2" s="108"/>
      <c r="J2" s="108"/>
      <c r="K2" s="108"/>
      <c r="L2" s="108"/>
      <c r="M2" s="108"/>
      <c r="N2" s="108"/>
      <c r="O2" s="19"/>
      <c r="P2" s="105">
        <v>1</v>
      </c>
      <c r="Q2" s="106"/>
      <c r="R2" s="106"/>
      <c r="S2" s="106"/>
      <c r="T2" s="106"/>
      <c r="U2" s="106"/>
      <c r="V2" s="106"/>
      <c r="W2" s="106"/>
      <c r="X2" s="106"/>
      <c r="Y2" s="106"/>
    </row>
    <row r="3" spans="1:63" s="21" customFormat="1" ht="30" customHeight="1" x14ac:dyDescent="0.25">
      <c r="A3" s="12"/>
      <c r="B3" s="20"/>
      <c r="C3" s="22"/>
      <c r="D3" s="23"/>
    </row>
    <row r="4" spans="1:63" s="21" customFormat="1" ht="30" customHeight="1" x14ac:dyDescent="0.2">
      <c r="A4" s="13"/>
      <c r="B4" s="24"/>
      <c r="D4" s="25"/>
      <c r="H4" s="104">
        <f>H5</f>
        <v>46216</v>
      </c>
      <c r="I4" s="102"/>
      <c r="J4" s="102"/>
      <c r="K4" s="102"/>
      <c r="L4" s="102"/>
      <c r="M4" s="102"/>
      <c r="N4" s="102"/>
      <c r="O4" s="102">
        <f>O5</f>
        <v>46223</v>
      </c>
      <c r="P4" s="102"/>
      <c r="Q4" s="102"/>
      <c r="R4" s="102"/>
      <c r="S4" s="102"/>
      <c r="T4" s="102"/>
      <c r="U4" s="102"/>
      <c r="V4" s="102">
        <f>V5</f>
        <v>46230</v>
      </c>
      <c r="W4" s="102"/>
      <c r="X4" s="102"/>
      <c r="Y4" s="102"/>
      <c r="Z4" s="102"/>
      <c r="AA4" s="102"/>
      <c r="AB4" s="102"/>
      <c r="AC4" s="102">
        <f>AC5</f>
        <v>46237</v>
      </c>
      <c r="AD4" s="102"/>
      <c r="AE4" s="102"/>
      <c r="AF4" s="102"/>
      <c r="AG4" s="102"/>
      <c r="AH4" s="102"/>
      <c r="AI4" s="102"/>
      <c r="AJ4" s="102">
        <f>AJ5</f>
        <v>46244</v>
      </c>
      <c r="AK4" s="102"/>
      <c r="AL4" s="102"/>
      <c r="AM4" s="102"/>
      <c r="AN4" s="102"/>
      <c r="AO4" s="102"/>
      <c r="AP4" s="102"/>
      <c r="AQ4" s="102">
        <f>AQ5</f>
        <v>46251</v>
      </c>
      <c r="AR4" s="102"/>
      <c r="AS4" s="102"/>
      <c r="AT4" s="102"/>
      <c r="AU4" s="102"/>
      <c r="AV4" s="102"/>
      <c r="AW4" s="102"/>
      <c r="AX4" s="102">
        <f>AX5</f>
        <v>46258</v>
      </c>
      <c r="AY4" s="102"/>
      <c r="AZ4" s="102"/>
      <c r="BA4" s="102"/>
      <c r="BB4" s="102"/>
      <c r="BC4" s="102"/>
      <c r="BD4" s="102"/>
      <c r="BE4" s="102">
        <f>BE5</f>
        <v>46265</v>
      </c>
      <c r="BF4" s="102"/>
      <c r="BG4" s="102"/>
      <c r="BH4" s="102"/>
      <c r="BI4" s="102"/>
      <c r="BJ4" s="102"/>
      <c r="BK4" s="103"/>
    </row>
    <row r="5" spans="1:63" s="21" customFormat="1" ht="15" customHeight="1" x14ac:dyDescent="0.2">
      <c r="A5" s="110"/>
      <c r="B5" s="111" t="s">
        <v>5</v>
      </c>
      <c r="C5" s="113" t="s">
        <v>1</v>
      </c>
      <c r="D5" s="113" t="s">
        <v>3</v>
      </c>
      <c r="E5" s="113" t="s">
        <v>4</v>
      </c>
      <c r="H5" s="26">
        <f>Project_Start-WEEKDAY(Project_Start,1)+2+7*(Display_Week-1)</f>
        <v>46216</v>
      </c>
      <c r="I5" s="26">
        <f>H5+1</f>
        <v>46217</v>
      </c>
      <c r="J5" s="26">
        <f t="shared" ref="J5:AW5" si="0">I5+1</f>
        <v>46218</v>
      </c>
      <c r="K5" s="26">
        <f t="shared" si="0"/>
        <v>46219</v>
      </c>
      <c r="L5" s="26">
        <f t="shared" si="0"/>
        <v>46220</v>
      </c>
      <c r="M5" s="26">
        <f t="shared" si="0"/>
        <v>46221</v>
      </c>
      <c r="N5" s="27">
        <f t="shared" si="0"/>
        <v>46222</v>
      </c>
      <c r="O5" s="28">
        <f>N5+1</f>
        <v>46223</v>
      </c>
      <c r="P5" s="26">
        <f>O5+1</f>
        <v>46224</v>
      </c>
      <c r="Q5" s="26">
        <f t="shared" si="0"/>
        <v>46225</v>
      </c>
      <c r="R5" s="26">
        <f t="shared" si="0"/>
        <v>46226</v>
      </c>
      <c r="S5" s="26">
        <f t="shared" si="0"/>
        <v>46227</v>
      </c>
      <c r="T5" s="26">
        <f t="shared" si="0"/>
        <v>46228</v>
      </c>
      <c r="U5" s="27">
        <f t="shared" si="0"/>
        <v>46229</v>
      </c>
      <c r="V5" s="28">
        <f>U5+1</f>
        <v>46230</v>
      </c>
      <c r="W5" s="26">
        <f>V5+1</f>
        <v>46231</v>
      </c>
      <c r="X5" s="26">
        <f t="shared" si="0"/>
        <v>46232</v>
      </c>
      <c r="Y5" s="26">
        <f t="shared" si="0"/>
        <v>46233</v>
      </c>
      <c r="Z5" s="26">
        <f t="shared" si="0"/>
        <v>46234</v>
      </c>
      <c r="AA5" s="26">
        <f t="shared" si="0"/>
        <v>46235</v>
      </c>
      <c r="AB5" s="27">
        <f t="shared" si="0"/>
        <v>46236</v>
      </c>
      <c r="AC5" s="28">
        <f>AB5+1</f>
        <v>46237</v>
      </c>
      <c r="AD5" s="26">
        <f>AC5+1</f>
        <v>46238</v>
      </c>
      <c r="AE5" s="26">
        <f t="shared" si="0"/>
        <v>46239</v>
      </c>
      <c r="AF5" s="26">
        <f t="shared" si="0"/>
        <v>46240</v>
      </c>
      <c r="AG5" s="26">
        <f t="shared" si="0"/>
        <v>46241</v>
      </c>
      <c r="AH5" s="26">
        <f t="shared" si="0"/>
        <v>46242</v>
      </c>
      <c r="AI5" s="27">
        <f t="shared" si="0"/>
        <v>46243</v>
      </c>
      <c r="AJ5" s="28">
        <f>AI5+1</f>
        <v>46244</v>
      </c>
      <c r="AK5" s="26">
        <f>AJ5+1</f>
        <v>46245</v>
      </c>
      <c r="AL5" s="26">
        <f t="shared" si="0"/>
        <v>46246</v>
      </c>
      <c r="AM5" s="26">
        <f t="shared" si="0"/>
        <v>46247</v>
      </c>
      <c r="AN5" s="91">
        <f t="shared" si="0"/>
        <v>46248</v>
      </c>
      <c r="AO5" s="26">
        <f t="shared" si="0"/>
        <v>46249</v>
      </c>
      <c r="AP5" s="27">
        <f t="shared" si="0"/>
        <v>46250</v>
      </c>
      <c r="AQ5" s="28">
        <f>AP5+1</f>
        <v>46251</v>
      </c>
      <c r="AR5" s="26">
        <f>AQ5+1</f>
        <v>46252</v>
      </c>
      <c r="AS5" s="26">
        <f t="shared" si="0"/>
        <v>46253</v>
      </c>
      <c r="AT5" s="26">
        <f t="shared" si="0"/>
        <v>46254</v>
      </c>
      <c r="AU5" s="26">
        <f t="shared" si="0"/>
        <v>46255</v>
      </c>
      <c r="AV5" s="26">
        <f t="shared" si="0"/>
        <v>46256</v>
      </c>
      <c r="AW5" s="27">
        <f t="shared" si="0"/>
        <v>46257</v>
      </c>
      <c r="AX5" s="28">
        <f>AW5+1</f>
        <v>46258</v>
      </c>
      <c r="AY5" s="26">
        <f>AX5+1</f>
        <v>46259</v>
      </c>
      <c r="AZ5" s="26">
        <f t="shared" ref="AZ5:BD5" si="1">AY5+1</f>
        <v>46260</v>
      </c>
      <c r="BA5" s="26">
        <f t="shared" si="1"/>
        <v>46261</v>
      </c>
      <c r="BB5" s="26">
        <f t="shared" si="1"/>
        <v>46262</v>
      </c>
      <c r="BC5" s="26">
        <f t="shared" si="1"/>
        <v>46263</v>
      </c>
      <c r="BD5" s="27">
        <f t="shared" si="1"/>
        <v>46264</v>
      </c>
      <c r="BE5" s="28">
        <f>BD5+1</f>
        <v>46265</v>
      </c>
      <c r="BF5" s="26">
        <f>BE5+1</f>
        <v>46266</v>
      </c>
      <c r="BG5" s="26">
        <f t="shared" ref="BG5:BK5" si="2">BF5+1</f>
        <v>46267</v>
      </c>
      <c r="BH5" s="26">
        <f t="shared" si="2"/>
        <v>46268</v>
      </c>
      <c r="BI5" s="26">
        <f t="shared" si="2"/>
        <v>46269</v>
      </c>
      <c r="BJ5" s="26">
        <f t="shared" si="2"/>
        <v>46270</v>
      </c>
      <c r="BK5" s="26">
        <f t="shared" si="2"/>
        <v>46271</v>
      </c>
    </row>
    <row r="6" spans="1:63" s="21" customFormat="1" ht="15" customHeight="1" thickBot="1" x14ac:dyDescent="0.25">
      <c r="A6" s="110"/>
      <c r="B6" s="112"/>
      <c r="C6" s="114"/>
      <c r="D6" s="114"/>
      <c r="E6" s="114"/>
      <c r="H6" s="29" t="str">
        <f t="shared" ref="H6:AM6" si="3">LEFT(TEXT(H5,"ddd"),1)</f>
        <v>M</v>
      </c>
      <c r="I6" s="30" t="str">
        <f t="shared" si="3"/>
        <v>T</v>
      </c>
      <c r="J6" s="30" t="str">
        <f t="shared" si="3"/>
        <v>W</v>
      </c>
      <c r="K6" s="30" t="str">
        <f t="shared" si="3"/>
        <v>T</v>
      </c>
      <c r="L6" s="30" t="str">
        <f t="shared" si="3"/>
        <v>F</v>
      </c>
      <c r="M6" s="30" t="str">
        <f t="shared" si="3"/>
        <v>S</v>
      </c>
      <c r="N6" s="30" t="str">
        <f t="shared" si="3"/>
        <v>S</v>
      </c>
      <c r="O6" s="30" t="str">
        <f t="shared" si="3"/>
        <v>M</v>
      </c>
      <c r="P6" s="30" t="str">
        <f t="shared" si="3"/>
        <v>T</v>
      </c>
      <c r="Q6" s="30" t="str">
        <f t="shared" si="3"/>
        <v>W</v>
      </c>
      <c r="R6" s="30" t="str">
        <f t="shared" si="3"/>
        <v>T</v>
      </c>
      <c r="S6" s="30" t="str">
        <f t="shared" si="3"/>
        <v>F</v>
      </c>
      <c r="T6" s="30" t="str">
        <f t="shared" si="3"/>
        <v>S</v>
      </c>
      <c r="U6" s="30" t="str">
        <f t="shared" si="3"/>
        <v>S</v>
      </c>
      <c r="V6" s="30" t="str">
        <f t="shared" si="3"/>
        <v>M</v>
      </c>
      <c r="W6" s="30" t="str">
        <f t="shared" si="3"/>
        <v>T</v>
      </c>
      <c r="X6" s="30" t="str">
        <f t="shared" si="3"/>
        <v>W</v>
      </c>
      <c r="Y6" s="30" t="str">
        <f t="shared" si="3"/>
        <v>T</v>
      </c>
      <c r="Z6" s="30" t="str">
        <f t="shared" si="3"/>
        <v>F</v>
      </c>
      <c r="AA6" s="30" t="str">
        <f t="shared" si="3"/>
        <v>S</v>
      </c>
      <c r="AB6" s="30" t="str">
        <f t="shared" si="3"/>
        <v>S</v>
      </c>
      <c r="AC6" s="30" t="str">
        <f t="shared" si="3"/>
        <v>M</v>
      </c>
      <c r="AD6" s="30" t="str">
        <f t="shared" si="3"/>
        <v>T</v>
      </c>
      <c r="AE6" s="30" t="str">
        <f t="shared" si="3"/>
        <v>W</v>
      </c>
      <c r="AF6" s="30" t="str">
        <f t="shared" si="3"/>
        <v>T</v>
      </c>
      <c r="AG6" s="30" t="str">
        <f t="shared" si="3"/>
        <v>F</v>
      </c>
      <c r="AH6" s="30" t="str">
        <f t="shared" si="3"/>
        <v>S</v>
      </c>
      <c r="AI6" s="30" t="str">
        <f t="shared" si="3"/>
        <v>S</v>
      </c>
      <c r="AJ6" s="30" t="str">
        <f t="shared" si="3"/>
        <v>M</v>
      </c>
      <c r="AK6" s="30" t="str">
        <f t="shared" si="3"/>
        <v>T</v>
      </c>
      <c r="AL6" s="30" t="str">
        <f t="shared" si="3"/>
        <v>W</v>
      </c>
      <c r="AM6" s="31" t="str">
        <f t="shared" si="3"/>
        <v>T</v>
      </c>
      <c r="AN6" s="93" t="str">
        <f t="shared" ref="AN6:BK6" si="4">LEFT(TEXT(AN5,"ddd"),1)</f>
        <v>F</v>
      </c>
      <c r="AO6" s="29" t="str">
        <f t="shared" si="4"/>
        <v>S</v>
      </c>
      <c r="AP6" s="30" t="str">
        <f t="shared" si="4"/>
        <v>S</v>
      </c>
      <c r="AQ6" s="30" t="str">
        <f t="shared" si="4"/>
        <v>M</v>
      </c>
      <c r="AR6" s="30" t="str">
        <f t="shared" si="4"/>
        <v>T</v>
      </c>
      <c r="AS6" s="30" t="str">
        <f t="shared" si="4"/>
        <v>W</v>
      </c>
      <c r="AT6" s="30" t="str">
        <f t="shared" si="4"/>
        <v>T</v>
      </c>
      <c r="AU6" s="30" t="str">
        <f t="shared" si="4"/>
        <v>F</v>
      </c>
      <c r="AV6" s="30" t="str">
        <f t="shared" si="4"/>
        <v>S</v>
      </c>
      <c r="AW6" s="30" t="str">
        <f t="shared" si="4"/>
        <v>S</v>
      </c>
      <c r="AX6" s="30" t="str">
        <f t="shared" si="4"/>
        <v>M</v>
      </c>
      <c r="AY6" s="30" t="str">
        <f t="shared" si="4"/>
        <v>T</v>
      </c>
      <c r="AZ6" s="30" t="str">
        <f t="shared" si="4"/>
        <v>W</v>
      </c>
      <c r="BA6" s="30" t="str">
        <f t="shared" si="4"/>
        <v>T</v>
      </c>
      <c r="BB6" s="30" t="str">
        <f t="shared" si="4"/>
        <v>F</v>
      </c>
      <c r="BC6" s="30" t="str">
        <f t="shared" si="4"/>
        <v>S</v>
      </c>
      <c r="BD6" s="30" t="str">
        <f t="shared" si="4"/>
        <v>S</v>
      </c>
      <c r="BE6" s="30" t="str">
        <f t="shared" si="4"/>
        <v>M</v>
      </c>
      <c r="BF6" s="30" t="str">
        <f t="shared" si="4"/>
        <v>T</v>
      </c>
      <c r="BG6" s="30" t="str">
        <f t="shared" si="4"/>
        <v>W</v>
      </c>
      <c r="BH6" s="30" t="str">
        <f t="shared" si="4"/>
        <v>T</v>
      </c>
      <c r="BI6" s="30" t="str">
        <f t="shared" si="4"/>
        <v>F</v>
      </c>
      <c r="BJ6" s="30" t="str">
        <f t="shared" si="4"/>
        <v>S</v>
      </c>
      <c r="BK6" s="31" t="str">
        <f t="shared" si="4"/>
        <v>S</v>
      </c>
    </row>
    <row r="7" spans="1:63" s="21" customFormat="1" ht="30" hidden="1" customHeight="1" thickBot="1" x14ac:dyDescent="0.25">
      <c r="A7" s="12" t="s">
        <v>19</v>
      </c>
      <c r="B7" s="32"/>
      <c r="C7" s="32"/>
      <c r="D7" s="32"/>
      <c r="E7" s="32"/>
      <c r="G7" s="21" t="str">
        <f>IF(OR(ISBLANK(task_start),ISBLANK(task_end)),"",task_end-task_start+1)</f>
        <v/>
      </c>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87"/>
      <c r="AN7" s="94"/>
      <c r="AO7" s="89"/>
      <c r="AP7" s="33"/>
      <c r="AQ7" s="33"/>
      <c r="AR7" s="33"/>
      <c r="AS7" s="33"/>
      <c r="AT7" s="33"/>
      <c r="AU7" s="33"/>
      <c r="AV7" s="33"/>
      <c r="AW7" s="33"/>
      <c r="AX7" s="33"/>
      <c r="AY7" s="33"/>
      <c r="AZ7" s="33"/>
      <c r="BA7" s="33"/>
      <c r="BB7" s="33"/>
      <c r="BC7" s="33"/>
      <c r="BD7" s="33"/>
      <c r="BE7" s="33"/>
      <c r="BF7" s="33"/>
      <c r="BG7" s="33"/>
      <c r="BH7" s="33"/>
      <c r="BI7" s="33"/>
      <c r="BJ7" s="33"/>
      <c r="BK7" s="33"/>
    </row>
    <row r="8" spans="1:63" s="39" customFormat="1" ht="30" customHeight="1" thickBot="1" x14ac:dyDescent="0.25">
      <c r="A8" s="13"/>
      <c r="B8" s="34" t="s">
        <v>23</v>
      </c>
      <c r="C8" s="35"/>
      <c r="D8" s="36"/>
      <c r="E8" s="37"/>
      <c r="F8" s="15"/>
      <c r="G8" s="4" t="str">
        <f t="shared" ref="G8:G32" si="5">IF(OR(ISBLANK(task_start),ISBLANK(task_end)),"",task_end-task_start+1)</f>
        <v/>
      </c>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95"/>
      <c r="AO8" s="38"/>
      <c r="AP8" s="38"/>
      <c r="AQ8" s="38"/>
      <c r="AR8" s="38"/>
      <c r="AS8" s="38"/>
      <c r="AT8" s="38"/>
      <c r="AU8" s="38"/>
      <c r="AV8" s="38"/>
      <c r="AW8" s="38"/>
      <c r="AX8" s="38"/>
      <c r="AY8" s="38"/>
      <c r="AZ8" s="38"/>
      <c r="BA8" s="38"/>
      <c r="BB8" s="38"/>
      <c r="BC8" s="38"/>
      <c r="BD8" s="38"/>
      <c r="BE8" s="38"/>
      <c r="BF8" s="38"/>
      <c r="BG8" s="38"/>
      <c r="BH8" s="38"/>
      <c r="BI8" s="38"/>
      <c r="BJ8" s="38"/>
      <c r="BK8" s="38"/>
    </row>
    <row r="9" spans="1:63" s="39" customFormat="1" ht="30" customHeight="1" thickBot="1" x14ac:dyDescent="0.25">
      <c r="A9" s="13"/>
      <c r="B9" s="84" t="s">
        <v>24</v>
      </c>
      <c r="C9" s="40">
        <v>1</v>
      </c>
      <c r="D9" s="41">
        <f>Project_Start</f>
        <v>46218</v>
      </c>
      <c r="E9" s="41">
        <f>D9</f>
        <v>46218</v>
      </c>
      <c r="F9" s="15"/>
      <c r="G9" s="4">
        <f t="shared" si="5"/>
        <v>1</v>
      </c>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88"/>
      <c r="AN9" s="96"/>
      <c r="AO9" s="90"/>
      <c r="AP9" s="42"/>
      <c r="AQ9" s="42"/>
      <c r="AR9" s="42"/>
      <c r="AS9" s="42"/>
      <c r="AT9" s="42"/>
      <c r="AU9" s="42"/>
      <c r="AV9" s="42"/>
      <c r="AW9" s="42"/>
      <c r="AX9" s="42"/>
      <c r="AY9" s="42"/>
      <c r="AZ9" s="42"/>
      <c r="BA9" s="42"/>
      <c r="BB9" s="42"/>
      <c r="BC9" s="42"/>
      <c r="BD9" s="42"/>
      <c r="BE9" s="42"/>
      <c r="BF9" s="42"/>
      <c r="BG9" s="42"/>
      <c r="BH9" s="42"/>
      <c r="BI9" s="42"/>
      <c r="BJ9" s="42"/>
      <c r="BK9" s="42"/>
    </row>
    <row r="10" spans="1:63" s="39" customFormat="1" ht="30" customHeight="1" thickBot="1" x14ac:dyDescent="0.25">
      <c r="A10" s="13"/>
      <c r="B10" s="83" t="s">
        <v>25</v>
      </c>
      <c r="C10" s="43">
        <v>1</v>
      </c>
      <c r="D10" s="44">
        <f>E9</f>
        <v>46218</v>
      </c>
      <c r="E10" s="44">
        <f>D10</f>
        <v>46218</v>
      </c>
      <c r="F10" s="15"/>
      <c r="G10" s="4">
        <f t="shared" si="5"/>
        <v>1</v>
      </c>
      <c r="H10" s="42"/>
      <c r="I10" s="42"/>
      <c r="J10" s="42"/>
      <c r="K10" s="42"/>
      <c r="L10" s="42"/>
      <c r="M10" s="42"/>
      <c r="N10" s="42"/>
      <c r="O10" s="42"/>
      <c r="P10" s="42"/>
      <c r="Q10" s="42"/>
      <c r="R10" s="42"/>
      <c r="S10" s="42"/>
      <c r="T10" s="45"/>
      <c r="U10" s="45"/>
      <c r="V10" s="42"/>
      <c r="W10" s="42"/>
      <c r="X10" s="42"/>
      <c r="Y10" s="42"/>
      <c r="Z10" s="42"/>
      <c r="AA10" s="42"/>
      <c r="AB10" s="42"/>
      <c r="AC10" s="42"/>
      <c r="AD10" s="42"/>
      <c r="AE10" s="42"/>
      <c r="AF10" s="42"/>
      <c r="AG10" s="42"/>
      <c r="AH10" s="42"/>
      <c r="AI10" s="42"/>
      <c r="AJ10" s="42"/>
      <c r="AK10" s="42"/>
      <c r="AL10" s="42"/>
      <c r="AM10" s="88"/>
      <c r="AN10" s="96"/>
      <c r="AO10" s="90"/>
      <c r="AP10" s="42"/>
      <c r="AQ10" s="42"/>
      <c r="AR10" s="42"/>
      <c r="AS10" s="42"/>
      <c r="AT10" s="42"/>
      <c r="AU10" s="42"/>
      <c r="AV10" s="42"/>
      <c r="AW10" s="42"/>
      <c r="AX10" s="42"/>
      <c r="AY10" s="42"/>
      <c r="AZ10" s="42"/>
      <c r="BA10" s="42"/>
      <c r="BB10" s="42"/>
      <c r="BC10" s="42"/>
      <c r="BD10" s="42"/>
      <c r="BE10" s="42"/>
      <c r="BF10" s="42"/>
      <c r="BG10" s="42"/>
      <c r="BH10" s="42"/>
      <c r="BI10" s="42"/>
      <c r="BJ10" s="42"/>
      <c r="BK10" s="42"/>
    </row>
    <row r="11" spans="1:63" s="39" customFormat="1" ht="30" customHeight="1" thickBot="1" x14ac:dyDescent="0.25">
      <c r="A11" s="12"/>
      <c r="B11" s="83" t="s">
        <v>26</v>
      </c>
      <c r="C11" s="43">
        <v>1</v>
      </c>
      <c r="D11" s="44">
        <f>E10</f>
        <v>46218</v>
      </c>
      <c r="E11" s="44">
        <f>D11+1</f>
        <v>46219</v>
      </c>
      <c r="F11" s="15"/>
      <c r="G11" s="4">
        <f t="shared" si="5"/>
        <v>2</v>
      </c>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88"/>
      <c r="AN11" s="96"/>
      <c r="AO11" s="90"/>
      <c r="AP11" s="42"/>
      <c r="AQ11" s="42"/>
      <c r="AR11" s="42"/>
      <c r="AS11" s="42"/>
      <c r="AT11" s="42"/>
      <c r="AU11" s="42"/>
      <c r="AV11" s="42"/>
      <c r="AW11" s="42"/>
      <c r="AX11" s="42"/>
      <c r="AY11" s="42"/>
      <c r="AZ11" s="42"/>
      <c r="BA11" s="42"/>
      <c r="BB11" s="42"/>
      <c r="BC11" s="42"/>
      <c r="BD11" s="42"/>
      <c r="BE11" s="42"/>
      <c r="BF11" s="42"/>
      <c r="BG11" s="42"/>
      <c r="BH11" s="42"/>
      <c r="BI11" s="42"/>
      <c r="BJ11" s="42"/>
      <c r="BK11" s="42"/>
    </row>
    <row r="12" spans="1:63" s="39" customFormat="1" ht="30" customHeight="1" thickBot="1" x14ac:dyDescent="0.25">
      <c r="A12" s="12"/>
      <c r="B12" s="83" t="s">
        <v>27</v>
      </c>
      <c r="C12" s="43">
        <v>1</v>
      </c>
      <c r="D12" s="44">
        <f>E11</f>
        <v>46219</v>
      </c>
      <c r="E12" s="44">
        <f>D12</f>
        <v>46219</v>
      </c>
      <c r="F12" s="15"/>
      <c r="G12" s="4">
        <f t="shared" si="5"/>
        <v>1</v>
      </c>
      <c r="H12" s="42"/>
      <c r="I12" s="42"/>
      <c r="J12" s="42"/>
      <c r="K12" s="42"/>
      <c r="L12" s="42"/>
      <c r="M12" s="42"/>
      <c r="N12" s="42"/>
      <c r="O12" s="42"/>
      <c r="P12" s="42"/>
      <c r="Q12" s="42"/>
      <c r="R12" s="42"/>
      <c r="S12" s="42"/>
      <c r="T12" s="42"/>
      <c r="U12" s="42"/>
      <c r="V12" s="42"/>
      <c r="W12" s="42"/>
      <c r="X12" s="45"/>
      <c r="Y12" s="42"/>
      <c r="Z12" s="42"/>
      <c r="AA12" s="42"/>
      <c r="AB12" s="42"/>
      <c r="AC12" s="42"/>
      <c r="AD12" s="42"/>
      <c r="AE12" s="42"/>
      <c r="AF12" s="42"/>
      <c r="AG12" s="42"/>
      <c r="AH12" s="42"/>
      <c r="AI12" s="42"/>
      <c r="AJ12" s="42"/>
      <c r="AK12" s="42"/>
      <c r="AL12" s="42"/>
      <c r="AM12" s="88"/>
      <c r="AN12" s="96"/>
      <c r="AO12" s="90"/>
      <c r="AP12" s="42"/>
      <c r="AQ12" s="42"/>
      <c r="AR12" s="42"/>
      <c r="AS12" s="42"/>
      <c r="AT12" s="42"/>
      <c r="AU12" s="42"/>
      <c r="AV12" s="42"/>
      <c r="AW12" s="42"/>
      <c r="AX12" s="42"/>
      <c r="AY12" s="42"/>
      <c r="AZ12" s="42"/>
      <c r="BA12" s="42"/>
      <c r="BB12" s="42"/>
      <c r="BC12" s="42"/>
      <c r="BD12" s="42"/>
      <c r="BE12" s="42"/>
      <c r="BF12" s="42"/>
      <c r="BG12" s="42"/>
      <c r="BH12" s="42"/>
      <c r="BI12" s="42"/>
      <c r="BJ12" s="42"/>
      <c r="BK12" s="42"/>
    </row>
    <row r="13" spans="1:63" s="39" customFormat="1" ht="30" customHeight="1" thickBot="1" x14ac:dyDescent="0.25">
      <c r="A13" s="12"/>
      <c r="B13" s="83" t="s">
        <v>56</v>
      </c>
      <c r="C13" s="43">
        <v>1</v>
      </c>
      <c r="D13" s="44">
        <f>E12</f>
        <v>46219</v>
      </c>
      <c r="E13" s="44">
        <f>D13</f>
        <v>46219</v>
      </c>
      <c r="F13" s="15"/>
      <c r="G13" s="4">
        <f t="shared" si="5"/>
        <v>1</v>
      </c>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88"/>
      <c r="AN13" s="96"/>
      <c r="AO13" s="90"/>
      <c r="AP13" s="42"/>
      <c r="AQ13" s="42"/>
      <c r="AR13" s="42"/>
      <c r="AS13" s="42"/>
      <c r="AT13" s="42"/>
      <c r="AU13" s="42"/>
      <c r="AV13" s="42"/>
      <c r="AW13" s="42"/>
      <c r="AX13" s="42"/>
      <c r="AY13" s="42"/>
      <c r="AZ13" s="42"/>
      <c r="BA13" s="42"/>
      <c r="BB13" s="42"/>
      <c r="BC13" s="42"/>
      <c r="BD13" s="42"/>
      <c r="BE13" s="42"/>
      <c r="BF13" s="42"/>
      <c r="BG13" s="42"/>
      <c r="BH13" s="42"/>
      <c r="BI13" s="42"/>
      <c r="BJ13" s="42"/>
      <c r="BK13" s="42"/>
    </row>
    <row r="14" spans="1:63" s="39" customFormat="1" ht="30" customHeight="1" thickBot="1" x14ac:dyDescent="0.25">
      <c r="A14" s="12"/>
      <c r="B14" s="83" t="s">
        <v>55</v>
      </c>
      <c r="C14" s="43">
        <v>1</v>
      </c>
      <c r="D14" s="44">
        <f>E13</f>
        <v>46219</v>
      </c>
      <c r="E14" s="44">
        <f>D14+1</f>
        <v>46220</v>
      </c>
      <c r="F14" s="15"/>
      <c r="G14" s="4">
        <f t="shared" si="5"/>
        <v>2</v>
      </c>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88"/>
      <c r="AN14" s="96"/>
      <c r="AO14" s="90"/>
      <c r="AP14" s="42"/>
      <c r="AQ14" s="42"/>
      <c r="AR14" s="42"/>
      <c r="AS14" s="42"/>
      <c r="AT14" s="42"/>
      <c r="AU14" s="42"/>
      <c r="AV14" s="42"/>
      <c r="AW14" s="42"/>
      <c r="AX14" s="42"/>
      <c r="AY14" s="42"/>
      <c r="AZ14" s="42"/>
      <c r="BA14" s="42"/>
      <c r="BB14" s="42"/>
      <c r="BC14" s="42"/>
      <c r="BD14" s="42"/>
      <c r="BE14" s="42"/>
      <c r="BF14" s="42"/>
      <c r="BG14" s="42"/>
      <c r="BH14" s="42"/>
      <c r="BI14" s="42"/>
      <c r="BJ14" s="42"/>
      <c r="BK14" s="42"/>
    </row>
    <row r="15" spans="1:63" s="39" customFormat="1" ht="30" customHeight="1" thickBot="1" x14ac:dyDescent="0.25">
      <c r="A15" s="13"/>
      <c r="B15" s="46" t="s">
        <v>28</v>
      </c>
      <c r="C15" s="47"/>
      <c r="D15" s="48"/>
      <c r="E15" s="49"/>
      <c r="F15" s="15"/>
      <c r="G15" s="4" t="str">
        <f t="shared" si="5"/>
        <v/>
      </c>
      <c r="AN15" s="94"/>
    </row>
    <row r="16" spans="1:63" s="39" customFormat="1" ht="30" customHeight="1" thickBot="1" x14ac:dyDescent="0.25">
      <c r="A16" s="13"/>
      <c r="B16" s="85" t="s">
        <v>29</v>
      </c>
      <c r="C16" s="50">
        <v>1</v>
      </c>
      <c r="D16" s="51">
        <f>E14</f>
        <v>46220</v>
      </c>
      <c r="E16" s="51">
        <f>D16</f>
        <v>46220</v>
      </c>
      <c r="F16" s="15"/>
      <c r="G16" s="4">
        <f t="shared" si="5"/>
        <v>1</v>
      </c>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88"/>
      <c r="AN16" s="96"/>
      <c r="AO16" s="90"/>
      <c r="AP16" s="42"/>
      <c r="AQ16" s="42"/>
      <c r="AR16" s="42"/>
      <c r="AS16" s="42"/>
      <c r="AT16" s="42"/>
      <c r="AU16" s="42"/>
      <c r="AV16" s="42"/>
      <c r="AW16" s="42"/>
      <c r="AX16" s="42"/>
      <c r="AY16" s="42"/>
      <c r="AZ16" s="42"/>
      <c r="BA16" s="42"/>
      <c r="BB16" s="42"/>
      <c r="BC16" s="42"/>
      <c r="BD16" s="42"/>
      <c r="BE16" s="42"/>
      <c r="BF16" s="42"/>
      <c r="BG16" s="42"/>
      <c r="BH16" s="42"/>
      <c r="BI16" s="42"/>
      <c r="BJ16" s="42"/>
      <c r="BK16" s="42"/>
    </row>
    <row r="17" spans="1:63" s="39" customFormat="1" ht="30" customHeight="1" thickBot="1" x14ac:dyDescent="0.25">
      <c r="A17" s="12"/>
      <c r="B17" s="85" t="s">
        <v>30</v>
      </c>
      <c r="C17" s="50">
        <v>0.8</v>
      </c>
      <c r="D17" s="51">
        <f>D16</f>
        <v>46220</v>
      </c>
      <c r="E17" s="51">
        <f>D17+1</f>
        <v>46221</v>
      </c>
      <c r="F17" s="15"/>
      <c r="G17" s="4">
        <f t="shared" si="5"/>
        <v>2</v>
      </c>
      <c r="H17" s="42"/>
      <c r="I17" s="42"/>
      <c r="J17" s="42"/>
      <c r="K17" s="42"/>
      <c r="L17" s="42"/>
      <c r="M17" s="42"/>
      <c r="N17" s="42"/>
      <c r="O17" s="42"/>
      <c r="P17" s="42"/>
      <c r="Q17" s="42"/>
      <c r="R17" s="42"/>
      <c r="S17" s="42"/>
      <c r="T17" s="45"/>
      <c r="U17" s="45"/>
      <c r="V17" s="42"/>
      <c r="W17" s="42"/>
      <c r="X17" s="42"/>
      <c r="Y17" s="42"/>
      <c r="Z17" s="42"/>
      <c r="AA17" s="42"/>
      <c r="AB17" s="42"/>
      <c r="AC17" s="42"/>
      <c r="AD17" s="42"/>
      <c r="AE17" s="42"/>
      <c r="AF17" s="42"/>
      <c r="AG17" s="42"/>
      <c r="AH17" s="42"/>
      <c r="AI17" s="42"/>
      <c r="AJ17" s="42"/>
      <c r="AK17" s="42"/>
      <c r="AL17" s="42"/>
      <c r="AM17" s="88"/>
      <c r="AN17" s="96"/>
      <c r="AO17" s="90"/>
      <c r="AP17" s="42"/>
      <c r="AQ17" s="42"/>
      <c r="AR17" s="42"/>
      <c r="AS17" s="42"/>
      <c r="AT17" s="42"/>
      <c r="AU17" s="42"/>
      <c r="AV17" s="42"/>
      <c r="AW17" s="42"/>
      <c r="AX17" s="42"/>
      <c r="AY17" s="42"/>
      <c r="AZ17" s="42"/>
      <c r="BA17" s="42"/>
      <c r="BB17" s="42"/>
      <c r="BC17" s="42"/>
      <c r="BD17" s="42"/>
      <c r="BE17" s="42"/>
      <c r="BF17" s="42"/>
      <c r="BG17" s="42"/>
      <c r="BH17" s="42"/>
      <c r="BI17" s="42"/>
      <c r="BJ17" s="42"/>
      <c r="BK17" s="42"/>
    </row>
    <row r="18" spans="1:63" s="39" customFormat="1" ht="30" customHeight="1" thickBot="1" x14ac:dyDescent="0.25">
      <c r="A18" s="12"/>
      <c r="B18" s="85" t="s">
        <v>31</v>
      </c>
      <c r="C18" s="50">
        <v>0.9</v>
      </c>
      <c r="D18" s="51">
        <f>E17</f>
        <v>46221</v>
      </c>
      <c r="E18" s="51">
        <f>D18+1</f>
        <v>46222</v>
      </c>
      <c r="F18" s="15"/>
      <c r="G18" s="4">
        <f t="shared" si="5"/>
        <v>2</v>
      </c>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88"/>
      <c r="AN18" s="96"/>
      <c r="AO18" s="90"/>
      <c r="AP18" s="42"/>
      <c r="AQ18" s="42"/>
      <c r="AR18" s="42"/>
      <c r="AS18" s="42"/>
      <c r="AT18" s="42"/>
      <c r="AU18" s="42"/>
      <c r="AV18" s="42"/>
      <c r="AW18" s="42"/>
      <c r="AX18" s="42"/>
      <c r="AY18" s="42"/>
      <c r="AZ18" s="42"/>
      <c r="BA18" s="42"/>
      <c r="BB18" s="42"/>
      <c r="BC18" s="42"/>
      <c r="BD18" s="42"/>
      <c r="BE18" s="42"/>
      <c r="BF18" s="42"/>
      <c r="BG18" s="42"/>
      <c r="BH18" s="42"/>
      <c r="BI18" s="42"/>
      <c r="BJ18" s="42"/>
      <c r="BK18" s="42"/>
    </row>
    <row r="19" spans="1:63" s="39" customFormat="1" ht="30" customHeight="1" thickBot="1" x14ac:dyDescent="0.25">
      <c r="A19" s="12"/>
      <c r="B19" s="85" t="s">
        <v>32</v>
      </c>
      <c r="C19" s="50">
        <v>0</v>
      </c>
      <c r="D19" s="51">
        <f>E18</f>
        <v>46222</v>
      </c>
      <c r="E19" s="51">
        <f>D19+1</f>
        <v>46223</v>
      </c>
      <c r="F19" s="15"/>
      <c r="G19" s="4">
        <f t="shared" si="5"/>
        <v>2</v>
      </c>
      <c r="H19" s="42"/>
      <c r="I19" s="42"/>
      <c r="J19" s="42"/>
      <c r="K19" s="42"/>
      <c r="L19" s="42"/>
      <c r="M19" s="42"/>
      <c r="N19" s="42"/>
      <c r="O19" s="42"/>
      <c r="P19" s="42"/>
      <c r="Q19" s="42"/>
      <c r="R19" s="42"/>
      <c r="S19" s="42"/>
      <c r="T19" s="42"/>
      <c r="U19" s="42"/>
      <c r="V19" s="42"/>
      <c r="W19" s="42"/>
      <c r="X19" s="45"/>
      <c r="Y19" s="42"/>
      <c r="Z19" s="42"/>
      <c r="AA19" s="42"/>
      <c r="AB19" s="42"/>
      <c r="AC19" s="42"/>
      <c r="AD19" s="42"/>
      <c r="AE19" s="42"/>
      <c r="AF19" s="42"/>
      <c r="AG19" s="42"/>
      <c r="AH19" s="42"/>
      <c r="AI19" s="42"/>
      <c r="AJ19" s="42"/>
      <c r="AK19" s="42"/>
      <c r="AL19" s="42"/>
      <c r="AM19" s="88"/>
      <c r="AN19" s="96"/>
      <c r="AO19" s="90"/>
      <c r="AP19" s="42"/>
      <c r="AQ19" s="42"/>
      <c r="AR19" s="42"/>
      <c r="AS19" s="42"/>
      <c r="AT19" s="42"/>
      <c r="AU19" s="42"/>
      <c r="AV19" s="42"/>
      <c r="AW19" s="42"/>
      <c r="AX19" s="42"/>
      <c r="AY19" s="42"/>
      <c r="AZ19" s="42"/>
      <c r="BA19" s="42"/>
      <c r="BB19" s="42"/>
      <c r="BC19" s="42"/>
      <c r="BD19" s="42"/>
      <c r="BE19" s="42"/>
      <c r="BF19" s="42"/>
      <c r="BG19" s="42"/>
      <c r="BH19" s="42"/>
      <c r="BI19" s="42"/>
      <c r="BJ19" s="42"/>
      <c r="BK19" s="42"/>
    </row>
    <row r="20" spans="1:63" s="39" customFormat="1" ht="30" customHeight="1" thickBot="1" x14ac:dyDescent="0.25">
      <c r="A20" s="12"/>
      <c r="B20" s="85" t="s">
        <v>57</v>
      </c>
      <c r="C20" s="50">
        <v>1</v>
      </c>
      <c r="D20" s="51">
        <f>E19</f>
        <v>46223</v>
      </c>
      <c r="E20" s="51">
        <f>D20+2</f>
        <v>46225</v>
      </c>
      <c r="F20" s="15"/>
      <c r="G20" s="4">
        <f t="shared" si="5"/>
        <v>3</v>
      </c>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88"/>
      <c r="AN20" s="96"/>
      <c r="AO20" s="90"/>
      <c r="AP20" s="42"/>
      <c r="AQ20" s="42"/>
      <c r="AR20" s="42"/>
      <c r="AS20" s="42"/>
      <c r="AT20" s="42"/>
      <c r="AU20" s="42"/>
      <c r="AV20" s="42"/>
      <c r="AW20" s="42"/>
      <c r="AX20" s="42"/>
      <c r="AY20" s="42"/>
      <c r="AZ20" s="42"/>
      <c r="BA20" s="42"/>
      <c r="BB20" s="42"/>
      <c r="BC20" s="42"/>
      <c r="BD20" s="42"/>
      <c r="BE20" s="42"/>
      <c r="BF20" s="42"/>
      <c r="BG20" s="42"/>
      <c r="BH20" s="42"/>
      <c r="BI20" s="42"/>
      <c r="BJ20" s="42"/>
      <c r="BK20" s="42"/>
    </row>
    <row r="21" spans="1:63" s="39" customFormat="1" ht="30" customHeight="1" thickBot="1" x14ac:dyDescent="0.25">
      <c r="A21" s="12"/>
      <c r="B21" s="52" t="s">
        <v>33</v>
      </c>
      <c r="C21" s="53"/>
      <c r="D21" s="54"/>
      <c r="E21" s="55"/>
      <c r="F21" s="15"/>
      <c r="G21" s="4" t="str">
        <f t="shared" si="5"/>
        <v/>
      </c>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97"/>
      <c r="AO21" s="56"/>
      <c r="AP21" s="56"/>
      <c r="AQ21" s="56"/>
      <c r="AR21" s="56"/>
      <c r="AS21" s="56"/>
      <c r="AT21" s="56"/>
      <c r="AU21" s="56"/>
      <c r="AV21" s="56"/>
      <c r="AW21" s="56"/>
      <c r="AX21" s="56"/>
      <c r="AY21" s="56"/>
      <c r="AZ21" s="56"/>
      <c r="BA21" s="56"/>
      <c r="BB21" s="56"/>
      <c r="BC21" s="56"/>
      <c r="BD21" s="56"/>
      <c r="BE21" s="56"/>
      <c r="BF21" s="56"/>
      <c r="BG21" s="56"/>
      <c r="BH21" s="56"/>
      <c r="BI21" s="56"/>
      <c r="BJ21" s="56"/>
      <c r="BK21" s="56"/>
    </row>
    <row r="22" spans="1:63" s="39" customFormat="1" ht="30" customHeight="1" thickBot="1" x14ac:dyDescent="0.25">
      <c r="A22" s="12"/>
      <c r="B22" s="86" t="s">
        <v>58</v>
      </c>
      <c r="C22" s="57">
        <v>0.7</v>
      </c>
      <c r="D22" s="58">
        <v>46226</v>
      </c>
      <c r="E22" s="58">
        <f>D22+2</f>
        <v>46228</v>
      </c>
      <c r="F22" s="15"/>
      <c r="G22" s="4">
        <f t="shared" si="5"/>
        <v>3</v>
      </c>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88"/>
      <c r="AN22" s="96"/>
      <c r="AO22" s="90"/>
      <c r="AP22" s="42"/>
      <c r="AQ22" s="42"/>
      <c r="AR22" s="42"/>
      <c r="AS22" s="42"/>
      <c r="AT22" s="42"/>
      <c r="AU22" s="42"/>
      <c r="AV22" s="42"/>
      <c r="AW22" s="42"/>
      <c r="AX22" s="42"/>
      <c r="AY22" s="42"/>
      <c r="AZ22" s="42"/>
      <c r="BA22" s="42"/>
      <c r="BB22" s="42"/>
      <c r="BC22" s="42"/>
      <c r="BD22" s="42"/>
      <c r="BE22" s="42"/>
      <c r="BF22" s="42"/>
      <c r="BG22" s="42"/>
      <c r="BH22" s="42"/>
      <c r="BI22" s="42"/>
      <c r="BJ22" s="42"/>
      <c r="BK22" s="42"/>
    </row>
    <row r="23" spans="1:63" s="39" customFormat="1" ht="30" customHeight="1" thickBot="1" x14ac:dyDescent="0.25">
      <c r="A23" s="12"/>
      <c r="B23" s="86" t="s">
        <v>59</v>
      </c>
      <c r="C23" s="57">
        <v>0</v>
      </c>
      <c r="D23" s="58">
        <f>E22+1</f>
        <v>46229</v>
      </c>
      <c r="E23" s="58">
        <f>D23+7</f>
        <v>46236</v>
      </c>
      <c r="F23" s="15"/>
      <c r="G23" s="4">
        <f t="shared" si="5"/>
        <v>8</v>
      </c>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88"/>
      <c r="AN23" s="96"/>
      <c r="AO23" s="90"/>
      <c r="AP23" s="42"/>
      <c r="AQ23" s="42"/>
      <c r="AR23" s="42"/>
      <c r="AS23" s="42"/>
      <c r="AT23" s="42"/>
      <c r="AU23" s="42"/>
      <c r="AV23" s="42"/>
      <c r="AW23" s="42"/>
      <c r="AX23" s="42"/>
      <c r="AY23" s="42"/>
      <c r="AZ23" s="42"/>
      <c r="BA23" s="42"/>
      <c r="BB23" s="42"/>
      <c r="BC23" s="42"/>
      <c r="BD23" s="42"/>
      <c r="BE23" s="42"/>
      <c r="BF23" s="42"/>
      <c r="BG23" s="42"/>
      <c r="BH23" s="42"/>
      <c r="BI23" s="42"/>
      <c r="BJ23" s="42"/>
      <c r="BK23" s="42"/>
    </row>
    <row r="24" spans="1:63" s="39" customFormat="1" ht="30" customHeight="1" thickBot="1" x14ac:dyDescent="0.25">
      <c r="A24" s="12"/>
      <c r="B24" s="86" t="s">
        <v>60</v>
      </c>
      <c r="C24" s="57">
        <v>0</v>
      </c>
      <c r="D24" s="58">
        <f>E23+1</f>
        <v>46237</v>
      </c>
      <c r="E24" s="58">
        <f>D24+7</f>
        <v>46244</v>
      </c>
      <c r="F24" s="15"/>
      <c r="G24" s="4">
        <f t="shared" si="5"/>
        <v>8</v>
      </c>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88"/>
      <c r="AN24" s="96"/>
      <c r="AO24" s="90"/>
      <c r="AP24" s="42"/>
      <c r="AQ24" s="42"/>
      <c r="AR24" s="42"/>
      <c r="AS24" s="42"/>
      <c r="AT24" s="42"/>
      <c r="AU24" s="42"/>
      <c r="AV24" s="42"/>
      <c r="AW24" s="42"/>
      <c r="AX24" s="42"/>
      <c r="AY24" s="42"/>
      <c r="AZ24" s="42"/>
      <c r="BA24" s="42"/>
      <c r="BB24" s="42"/>
      <c r="BC24" s="42"/>
      <c r="BD24" s="42"/>
      <c r="BE24" s="42"/>
      <c r="BF24" s="42"/>
      <c r="BG24" s="42"/>
      <c r="BH24" s="42"/>
      <c r="BI24" s="42"/>
      <c r="BJ24" s="42"/>
      <c r="BK24" s="42"/>
    </row>
    <row r="25" spans="1:63" s="39" customFormat="1" ht="30" customHeight="1" thickBot="1" x14ac:dyDescent="0.25">
      <c r="A25" s="12"/>
      <c r="B25" s="59" t="s">
        <v>34</v>
      </c>
      <c r="C25" s="60"/>
      <c r="D25" s="61"/>
      <c r="E25" s="62"/>
      <c r="F25" s="15"/>
      <c r="G25" s="4" t="str">
        <f t="shared" si="5"/>
        <v/>
      </c>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96"/>
      <c r="AO25" s="63"/>
      <c r="AP25" s="63"/>
      <c r="AQ25" s="63"/>
      <c r="AR25" s="63"/>
      <c r="AS25" s="63"/>
      <c r="AT25" s="63"/>
      <c r="AU25" s="63"/>
      <c r="AV25" s="63"/>
      <c r="AW25" s="63"/>
      <c r="AX25" s="63"/>
      <c r="AY25" s="63"/>
      <c r="AZ25" s="63"/>
      <c r="BA25" s="63"/>
      <c r="BB25" s="63"/>
      <c r="BC25" s="63"/>
      <c r="BD25" s="63"/>
      <c r="BE25" s="63"/>
      <c r="BF25" s="63"/>
      <c r="BG25" s="63"/>
      <c r="BH25" s="63"/>
      <c r="BI25" s="63"/>
      <c r="BJ25" s="63"/>
      <c r="BK25" s="63"/>
    </row>
    <row r="26" spans="1:63" s="39" customFormat="1" ht="30" customHeight="1" thickBot="1" x14ac:dyDescent="0.25">
      <c r="A26" s="12"/>
      <c r="B26" s="64" t="s">
        <v>61</v>
      </c>
      <c r="C26" s="65">
        <v>0</v>
      </c>
      <c r="D26" s="66">
        <f>E24+1</f>
        <v>46245</v>
      </c>
      <c r="E26" s="66">
        <f>D26</f>
        <v>46245</v>
      </c>
      <c r="F26" s="15"/>
      <c r="G26" s="4">
        <f t="shared" si="5"/>
        <v>1</v>
      </c>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88"/>
      <c r="AN26" s="96"/>
      <c r="AO26" s="90"/>
      <c r="AP26" s="42"/>
      <c r="AQ26" s="42"/>
      <c r="AR26" s="42"/>
      <c r="AS26" s="42"/>
      <c r="AT26" s="42"/>
      <c r="AU26" s="42"/>
      <c r="AV26" s="42"/>
      <c r="AW26" s="42"/>
      <c r="AX26" s="42"/>
      <c r="AY26" s="42"/>
      <c r="AZ26" s="42"/>
      <c r="BA26" s="42"/>
      <c r="BB26" s="42"/>
      <c r="BC26" s="42"/>
      <c r="BD26" s="42"/>
      <c r="BE26" s="42"/>
      <c r="BF26" s="42"/>
      <c r="BG26" s="42"/>
      <c r="BH26" s="42"/>
      <c r="BI26" s="42"/>
      <c r="BJ26" s="42"/>
      <c r="BK26" s="42"/>
    </row>
    <row r="27" spans="1:63" s="39" customFormat="1" ht="30" customHeight="1" thickBot="1" x14ac:dyDescent="0.25">
      <c r="A27" s="12"/>
      <c r="B27" s="64" t="s">
        <v>62</v>
      </c>
      <c r="C27" s="65">
        <v>0</v>
      </c>
      <c r="D27" s="66">
        <f>E26+1</f>
        <v>46246</v>
      </c>
      <c r="E27" s="66">
        <f>D27</f>
        <v>46246</v>
      </c>
      <c r="F27" s="15"/>
      <c r="G27" s="4">
        <f t="shared" si="5"/>
        <v>1</v>
      </c>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88"/>
      <c r="AN27" s="96"/>
      <c r="AO27" s="90"/>
      <c r="AP27" s="42"/>
      <c r="AQ27" s="42"/>
      <c r="AR27" s="42"/>
      <c r="AS27" s="42"/>
      <c r="AT27" s="42"/>
      <c r="AU27" s="42"/>
      <c r="AV27" s="42"/>
      <c r="AW27" s="42"/>
      <c r="AX27" s="42"/>
      <c r="AY27" s="42"/>
      <c r="AZ27" s="42"/>
      <c r="BA27" s="42"/>
      <c r="BB27" s="42"/>
      <c r="BC27" s="42"/>
      <c r="BD27" s="42"/>
      <c r="BE27" s="42"/>
      <c r="BF27" s="42"/>
      <c r="BG27" s="42"/>
      <c r="BH27" s="42"/>
      <c r="BI27" s="42"/>
      <c r="BJ27" s="42"/>
      <c r="BK27" s="42"/>
    </row>
    <row r="28" spans="1:63" s="39" customFormat="1" ht="30" customHeight="1" thickBot="1" x14ac:dyDescent="0.25">
      <c r="A28" s="12"/>
      <c r="B28" s="64" t="s">
        <v>63</v>
      </c>
      <c r="C28" s="65">
        <v>0</v>
      </c>
      <c r="D28" s="66">
        <f>E27</f>
        <v>46246</v>
      </c>
      <c r="E28" s="66">
        <f>D28</f>
        <v>46246</v>
      </c>
      <c r="F28" s="15"/>
      <c r="G28" s="4">
        <f t="shared" si="5"/>
        <v>1</v>
      </c>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88"/>
      <c r="AN28" s="96"/>
      <c r="AO28" s="90"/>
      <c r="AP28" s="42"/>
      <c r="AQ28" s="42"/>
      <c r="AR28" s="42"/>
      <c r="AS28" s="42"/>
      <c r="AT28" s="42"/>
      <c r="AU28" s="42"/>
      <c r="AV28" s="42"/>
      <c r="AW28" s="42"/>
      <c r="AX28" s="42"/>
      <c r="AY28" s="42"/>
      <c r="AZ28" s="42"/>
      <c r="BA28" s="42"/>
      <c r="BB28" s="42"/>
      <c r="BC28" s="42"/>
      <c r="BD28" s="42"/>
      <c r="BE28" s="42"/>
      <c r="BF28" s="42"/>
      <c r="BG28" s="42"/>
      <c r="BH28" s="42"/>
      <c r="BI28" s="42"/>
      <c r="BJ28" s="42"/>
      <c r="BK28" s="42"/>
    </row>
    <row r="29" spans="1:63" s="39" customFormat="1" ht="30" customHeight="1" thickBot="1" x14ac:dyDescent="0.25">
      <c r="A29" s="12"/>
      <c r="B29" s="64" t="s">
        <v>64</v>
      </c>
      <c r="C29" s="65">
        <v>0</v>
      </c>
      <c r="D29" s="66">
        <f>E28</f>
        <v>46246</v>
      </c>
      <c r="E29" s="66">
        <f>D29</f>
        <v>46246</v>
      </c>
      <c r="F29" s="15"/>
      <c r="G29" s="4">
        <f t="shared" si="5"/>
        <v>1</v>
      </c>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88"/>
      <c r="AN29" s="96"/>
      <c r="AO29" s="90"/>
      <c r="AP29" s="42"/>
      <c r="AQ29" s="42"/>
      <c r="AR29" s="42"/>
      <c r="AS29" s="42"/>
      <c r="AT29" s="42"/>
      <c r="AU29" s="42"/>
      <c r="AV29" s="42"/>
      <c r="AW29" s="42"/>
      <c r="AX29" s="42"/>
      <c r="AY29" s="42"/>
      <c r="AZ29" s="42"/>
      <c r="BA29" s="42"/>
      <c r="BB29" s="42"/>
      <c r="BC29" s="42"/>
      <c r="BD29" s="42"/>
      <c r="BE29" s="42"/>
      <c r="BF29" s="42"/>
      <c r="BG29" s="42"/>
      <c r="BH29" s="42"/>
      <c r="BI29" s="42"/>
      <c r="BJ29" s="42"/>
      <c r="BK29" s="42"/>
    </row>
    <row r="30" spans="1:63" s="39" customFormat="1" ht="30" customHeight="1" thickBot="1" x14ac:dyDescent="0.25">
      <c r="A30" s="12"/>
      <c r="B30" s="64" t="s">
        <v>65</v>
      </c>
      <c r="C30" s="65">
        <v>0</v>
      </c>
      <c r="D30" s="66">
        <f>E29</f>
        <v>46246</v>
      </c>
      <c r="E30" s="66">
        <f>D30</f>
        <v>46246</v>
      </c>
      <c r="F30" s="15"/>
      <c r="G30" s="4">
        <f t="shared" si="5"/>
        <v>1</v>
      </c>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88"/>
      <c r="AN30" s="98"/>
      <c r="AO30" s="90"/>
      <c r="AP30" s="42"/>
      <c r="AQ30" s="42"/>
      <c r="AR30" s="42"/>
      <c r="AS30" s="42"/>
      <c r="AT30" s="42"/>
      <c r="AU30" s="42"/>
      <c r="AV30" s="42"/>
      <c r="AW30" s="42"/>
      <c r="AX30" s="42"/>
      <c r="AY30" s="42"/>
      <c r="AZ30" s="42"/>
      <c r="BA30" s="42"/>
      <c r="BB30" s="42"/>
      <c r="BC30" s="42"/>
      <c r="BD30" s="42"/>
      <c r="BE30" s="42"/>
      <c r="BF30" s="42"/>
      <c r="BG30" s="42"/>
      <c r="BH30" s="42"/>
      <c r="BI30" s="42"/>
      <c r="BJ30" s="42"/>
      <c r="BK30" s="42"/>
    </row>
    <row r="31" spans="1:63" s="39" customFormat="1" ht="30" customHeight="1" thickBot="1" x14ac:dyDescent="0.25">
      <c r="A31" s="12"/>
      <c r="B31" s="67"/>
      <c r="C31" s="68"/>
      <c r="D31" s="69"/>
      <c r="E31" s="69"/>
      <c r="F31" s="15"/>
      <c r="G31" s="4" t="str">
        <f t="shared" si="5"/>
        <v/>
      </c>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92"/>
      <c r="AO31" s="38"/>
      <c r="AP31" s="38"/>
      <c r="AQ31" s="38"/>
      <c r="AR31" s="38"/>
      <c r="AS31" s="38"/>
      <c r="AT31" s="38"/>
      <c r="AU31" s="38"/>
      <c r="AV31" s="38"/>
      <c r="AW31" s="38"/>
      <c r="AX31" s="38"/>
      <c r="AY31" s="38"/>
      <c r="AZ31" s="38"/>
      <c r="BA31" s="38"/>
      <c r="BB31" s="38"/>
      <c r="BC31" s="38"/>
      <c r="BD31" s="38"/>
      <c r="BE31" s="38"/>
      <c r="BF31" s="38"/>
      <c r="BG31" s="38"/>
      <c r="BH31" s="38"/>
      <c r="BI31" s="38"/>
      <c r="BJ31" s="38"/>
      <c r="BK31" s="38"/>
    </row>
    <row r="32" spans="1:63" s="39" customFormat="1" ht="30" customHeight="1" thickBot="1" x14ac:dyDescent="0.25">
      <c r="A32" s="13"/>
      <c r="B32" s="70" t="s">
        <v>0</v>
      </c>
      <c r="C32" s="71"/>
      <c r="D32" s="72"/>
      <c r="E32" s="73"/>
      <c r="F32" s="15"/>
      <c r="G32" s="5" t="str">
        <f t="shared" si="5"/>
        <v/>
      </c>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row>
    <row r="33" spans="5:6" ht="30" customHeight="1" x14ac:dyDescent="0.2">
      <c r="F33" s="3"/>
    </row>
    <row r="34" spans="5:6" ht="30" customHeight="1" x14ac:dyDescent="0.2">
      <c r="E34" s="14"/>
    </row>
  </sheetData>
  <mergeCells count="20">
    <mergeCell ref="E5:E6"/>
    <mergeCell ref="B1:D1"/>
    <mergeCell ref="A5:A6"/>
    <mergeCell ref="B5:B6"/>
    <mergeCell ref="C5:C6"/>
    <mergeCell ref="D5:D6"/>
    <mergeCell ref="Z1:AE1"/>
    <mergeCell ref="AG1:AN1"/>
    <mergeCell ref="BE4:BK4"/>
    <mergeCell ref="H4:N4"/>
    <mergeCell ref="O4:U4"/>
    <mergeCell ref="V4:AB4"/>
    <mergeCell ref="AC4:AI4"/>
    <mergeCell ref="AJ4:AP4"/>
    <mergeCell ref="AQ4:AW4"/>
    <mergeCell ref="AX4:BD4"/>
    <mergeCell ref="P2:Y2"/>
    <mergeCell ref="P1:Y1"/>
    <mergeCell ref="H1:N1"/>
    <mergeCell ref="H2:N2"/>
  </mergeCells>
  <conditionalFormatting sqref="C7:C32">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BK30">
    <cfRule type="expression" dxfId="8" priority="1">
      <formula>AND(TODAY()&gt;=H$5, TODAY()&lt;I$5)</formula>
    </cfRule>
  </conditionalFormatting>
  <conditionalFormatting sqref="H9:BK14">
    <cfRule type="expression" dxfId="7" priority="6">
      <formula>AND(task_start&lt;=H$5,ROUNDDOWN((task_end-task_start+1)*task_progress,0)+task_start-1&gt;=H$5)</formula>
    </cfRule>
    <cfRule type="expression" dxfId="6" priority="7" stopIfTrue="1">
      <formula>AND(task_end&gt;=H$5,task_start&lt;I$5)</formula>
    </cfRule>
  </conditionalFormatting>
  <conditionalFormatting sqref="H16:BK20">
    <cfRule type="expression" dxfId="5" priority="4">
      <formula>AND(task_start&lt;=H$5,ROUNDDOWN((task_end-task_start+1)*task_progress,0)+task_start-1&gt;=H$5)</formula>
    </cfRule>
    <cfRule type="expression" dxfId="4" priority="5" stopIfTrue="1">
      <formula>AND(task_end&gt;=H$5,task_start&lt;I$5)</formula>
    </cfRule>
  </conditionalFormatting>
  <conditionalFormatting sqref="H22:BK24">
    <cfRule type="expression" dxfId="3" priority="2">
      <formula>AND(task_start&lt;=H$5,ROUNDDOWN((task_end-task_start+1)*task_progress,0)+task_start-1&gt;=H$5)</formula>
    </cfRule>
    <cfRule type="expression" dxfId="2" priority="3" stopIfTrue="1">
      <formula>AND(task_end&gt;=H$5,task_start&lt;I$5)</formula>
    </cfRule>
  </conditionalFormatting>
  <conditionalFormatting sqref="H26:BK30">
    <cfRule type="expression" dxfId="1" priority="36">
      <formula>AND(task_start&lt;=H$5,ROUNDDOWN((task_end-task_start+1)*task_progress,0)+task_start-1&gt;=H$5)</formula>
    </cfRule>
    <cfRule type="expression" dxfId="0" priority="37" stopIfTrue="1">
      <formula>AND(task_end&gt;=H$5,task_start&lt;I$5)</formula>
    </cfRule>
  </conditionalFormatting>
  <dataValidations count="13">
    <dataValidation type="whole" operator="greaterThanOrEqual" allowBlank="1" showInputMessage="1" promptTitle="Display Week" prompt="Changing this number will scroll the Gantt Chart view." sqref="P2">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dataValidation allowBlank="1" showInputMessage="1" showErrorMessage="1" prompt="Enter Company name in cel B2." sqref="A2"/>
    <dataValidation allowBlank="1" showInputMessage="1" showErrorMessage="1" prompt="Enter the name of the Project Lead in cell C3. Enter the Project Start date in cell Q1. Project Start: label is in cell I1." sqref="A3"/>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dataValidation allowBlank="1" showInputMessage="1" showErrorMessage="1" prompt="Cell B8 contains the Phase 1 sample title. Enter a new title in cell B8._x000a_To delete the phase and work only from tasks, simply delete this row." sqref="A8"/>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dataValidation allowBlank="1" showInputMessage="1" showErrorMessage="1" prompt="Phase 3's sample block starts in cell B20." sqref="A21"/>
    <dataValidation allowBlank="1" showInputMessage="1" showErrorMessage="1" prompt="Phase 4's sample block starts in cell B26." sqref="A25"/>
    <dataValidation allowBlank="1" showInputMessage="1" showErrorMessage="1" prompt="This row marks the end of the Project Schedule. DO NOT enter anything in this row. _x000a_Insert new rows ABOVE this one to continue building out your Project Schedule." sqref="A32"/>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topLeftCell="A10" zoomScale="85" zoomScaleNormal="85" workbookViewId="0">
      <selection activeCell="A21" sqref="A21"/>
    </sheetView>
  </sheetViews>
  <sheetFormatPr defaultRowHeight="14.25" x14ac:dyDescent="0.2"/>
  <sheetData>
    <row r="1" spans="1:6" x14ac:dyDescent="0.2">
      <c r="A1" t="s">
        <v>35</v>
      </c>
      <c r="B1" t="s">
        <v>36</v>
      </c>
      <c r="C1" t="s">
        <v>37</v>
      </c>
      <c r="D1" t="s">
        <v>50</v>
      </c>
      <c r="E1" t="s">
        <v>38</v>
      </c>
      <c r="F1" t="s">
        <v>39</v>
      </c>
    </row>
    <row r="2" spans="1:6" x14ac:dyDescent="0.2">
      <c r="A2" t="s">
        <v>40</v>
      </c>
    </row>
    <row r="3" spans="1:6" x14ac:dyDescent="0.2">
      <c r="A3" t="s">
        <v>41</v>
      </c>
    </row>
    <row r="4" spans="1:6" x14ac:dyDescent="0.2">
      <c r="A4" t="s">
        <v>42</v>
      </c>
    </row>
    <row r="5" spans="1:6" x14ac:dyDescent="0.2">
      <c r="A5" t="s">
        <v>43</v>
      </c>
    </row>
    <row r="6" spans="1:6" x14ac:dyDescent="0.2">
      <c r="A6" t="s">
        <v>44</v>
      </c>
    </row>
    <row r="7" spans="1:6" x14ac:dyDescent="0.2">
      <c r="A7" t="s">
        <v>45</v>
      </c>
    </row>
    <row r="8" spans="1:6" x14ac:dyDescent="0.2">
      <c r="A8" t="s">
        <v>46</v>
      </c>
    </row>
    <row r="9" spans="1:6" x14ac:dyDescent="0.2">
      <c r="A9" t="s">
        <v>47</v>
      </c>
    </row>
    <row r="10" spans="1:6" x14ac:dyDescent="0.2">
      <c r="A10" t="s">
        <v>48</v>
      </c>
    </row>
    <row r="11" spans="1:6" x14ac:dyDescent="0.2">
      <c r="A11" t="s">
        <v>49</v>
      </c>
    </row>
    <row r="13" spans="1:6" x14ac:dyDescent="0.2">
      <c r="A13" t="s">
        <v>40</v>
      </c>
    </row>
    <row r="14" spans="1:6" x14ac:dyDescent="0.2">
      <c r="A14" t="s">
        <v>51</v>
      </c>
    </row>
    <row r="15" spans="1:6" x14ac:dyDescent="0.2">
      <c r="A15" t="s">
        <v>52</v>
      </c>
    </row>
    <row r="17" spans="1:1" x14ac:dyDescent="0.2">
      <c r="A17" t="s">
        <v>51</v>
      </c>
    </row>
    <row r="18" spans="1:1" x14ac:dyDescent="0.2">
      <c r="A18" t="s">
        <v>53</v>
      </c>
    </row>
    <row r="19" spans="1:1" x14ac:dyDescent="0.2">
      <c r="A19" t="s">
        <v>54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showGridLines="0" zoomScaleNormal="100" workbookViewId="0"/>
  </sheetViews>
  <sheetFormatPr defaultColWidth="9" defaultRowHeight="12.75" x14ac:dyDescent="0.2"/>
  <cols>
    <col min="1" max="1" width="87" style="6" customWidth="1"/>
    <col min="2" max="16384" width="9" style="1"/>
  </cols>
  <sheetData>
    <row r="1" spans="1:2" ht="46.5" customHeight="1" x14ac:dyDescent="0.2"/>
    <row r="2" spans="1:2" s="8" customFormat="1" ht="15.75" x14ac:dyDescent="0.2">
      <c r="A2" s="76" t="s">
        <v>8</v>
      </c>
      <c r="B2" s="7"/>
    </row>
    <row r="3" spans="1:2" s="10" customFormat="1" ht="27" customHeight="1" x14ac:dyDescent="0.2">
      <c r="A3" s="77"/>
      <c r="B3" s="11"/>
    </row>
    <row r="4" spans="1:2" s="9" customFormat="1" ht="31.5" x14ac:dyDescent="0.6">
      <c r="A4" s="78" t="s">
        <v>7</v>
      </c>
    </row>
    <row r="5" spans="1:2" ht="74.25" customHeight="1" x14ac:dyDescent="0.2">
      <c r="A5" s="79" t="s">
        <v>15</v>
      </c>
    </row>
    <row r="6" spans="1:2" ht="26.25" customHeight="1" x14ac:dyDescent="0.2">
      <c r="A6" s="78" t="s">
        <v>18</v>
      </c>
    </row>
    <row r="7" spans="1:2" s="6" customFormat="1" ht="205.15" customHeight="1" x14ac:dyDescent="0.2">
      <c r="A7" s="80" t="s">
        <v>17</v>
      </c>
    </row>
    <row r="8" spans="1:2" s="9" customFormat="1" ht="31.5" x14ac:dyDescent="0.6">
      <c r="A8" s="78" t="s">
        <v>9</v>
      </c>
    </row>
    <row r="9" spans="1:2" ht="57" x14ac:dyDescent="0.2">
      <c r="A9" s="79" t="s">
        <v>16</v>
      </c>
    </row>
    <row r="10" spans="1:2" s="6" customFormat="1" ht="28.15" customHeight="1" x14ac:dyDescent="0.2">
      <c r="A10" s="81" t="s">
        <v>14</v>
      </c>
    </row>
    <row r="11" spans="1:2" s="9" customFormat="1" ht="31.5" x14ac:dyDescent="0.6">
      <c r="A11" s="78" t="s">
        <v>6</v>
      </c>
    </row>
    <row r="12" spans="1:2" ht="28.5" x14ac:dyDescent="0.2">
      <c r="A12" s="79" t="s">
        <v>13</v>
      </c>
    </row>
    <row r="13" spans="1:2" s="6" customFormat="1" ht="28.15" customHeight="1" x14ac:dyDescent="0.2">
      <c r="A13" s="81" t="s">
        <v>2</v>
      </c>
    </row>
    <row r="14" spans="1:2" s="9" customFormat="1" ht="31.5" x14ac:dyDescent="0.6">
      <c r="A14" s="78" t="s">
        <v>10</v>
      </c>
    </row>
    <row r="15" spans="1:2" ht="75" customHeight="1" x14ac:dyDescent="0.2">
      <c r="A15" s="79" t="s">
        <v>11</v>
      </c>
    </row>
    <row r="16" spans="1:2" ht="71.25" x14ac:dyDescent="0.2">
      <c r="A16" s="79" t="s">
        <v>12</v>
      </c>
    </row>
    <row r="17" spans="1:1" x14ac:dyDescent="0.2">
      <c r="A17" s="82"/>
    </row>
    <row r="18" spans="1:1" x14ac:dyDescent="0.2">
      <c r="A18" s="82"/>
    </row>
    <row r="19" spans="1:1" x14ac:dyDescent="0.2">
      <c r="A19" s="82"/>
    </row>
    <row r="20" spans="1:1" x14ac:dyDescent="0.2">
      <c r="A20" s="82"/>
    </row>
    <row r="21" spans="1:1" x14ac:dyDescent="0.2">
      <c r="A21" s="82"/>
    </row>
    <row r="22" spans="1:1" x14ac:dyDescent="0.2">
      <c r="A22" s="82"/>
    </row>
    <row r="23" spans="1:1" x14ac:dyDescent="0.2">
      <c r="A23" s="82"/>
    </row>
    <row r="24" spans="1:1" x14ac:dyDescent="0.2">
      <c r="A24" s="82"/>
    </row>
  </sheetData>
  <hyperlinks>
    <hyperlink ref="A13" r:id="rId1"/>
    <hyperlink ref="A10" r:id="rId2"/>
    <hyperlink ref="A2" r:id="rId3"/>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13059A93CBE546A03E50F175B69418" ma:contentTypeVersion="4" ma:contentTypeDescription="Create a new document." ma:contentTypeScope="" ma:versionID="293afc8c2bf3663649fcc11d39f7f52b">
  <xsd:schema xmlns:xsd="http://www.w3.org/2001/XMLSchema" xmlns:xs="http://www.w3.org/2001/XMLSchema" xmlns:p="http://schemas.microsoft.com/office/2006/metadata/properties" xmlns:ns3="5a22909f-ce5c-44b9-aebb-09fe3291eb90" targetNamespace="http://schemas.microsoft.com/office/2006/metadata/properties" ma:root="true" ma:fieldsID="214a354f759ee2e869b2c94b3e01d5b5" ns3:_="">
    <xsd:import namespace="5a22909f-ce5c-44b9-aebb-09fe3291eb90"/>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22909f-ce5c-44b9-aebb-09fe3291eb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schemas.microsoft.com/office/infopath/2007/PartnerControls"/>
    <ds:schemaRef ds:uri="http://schemas.openxmlformats.org/package/2006/metadata/core-properties"/>
    <ds:schemaRef ds:uri="http://www.w3.org/XML/1998/namespace"/>
    <ds:schemaRef ds:uri="5a22909f-ce5c-44b9-aebb-09fe3291eb90"/>
    <ds:schemaRef ds:uri="http://purl.org/dc/terms/"/>
    <ds:schemaRef ds:uri="http://purl.org/dc/elements/1.1/"/>
    <ds:schemaRef ds:uri="http://schemas.microsoft.com/office/2006/documentManagement/typ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48975492-F875-4BD9-A69C-B6F430A1D6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22909f-ce5c-44b9-aebb-09fe3291eb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Project schedule</vt:lpstr>
      <vt:lpstr>Data Dictionary</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Anas Qureshi</dc:creator>
  <dc:description/>
  <cp:lastModifiedBy>Fajar Qureshi</cp:lastModifiedBy>
  <dcterms:created xsi:type="dcterms:W3CDTF">2022-03-11T22:41:12Z</dcterms:created>
  <dcterms:modified xsi:type="dcterms:W3CDTF">2026-08-04T03:33:43Z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0x0101007813059A93CBE546A03E50F175B69418</vt:lpwstr>
  </property>
  <property fmtid="{D5CDD505-2E9C-101B-9397-08002B2CF9AE}" pid="3" name="MediaServiceImageTags">
    <vt:lpwstr/>
  </property>
</Properties>
</file>